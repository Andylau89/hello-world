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liu001\Desktop\GPIBcmd\EXT EXCEL TEST\"/>
    </mc:Choice>
  </mc:AlternateContent>
  <bookViews>
    <workbookView xWindow="1260" yWindow="1335" windowWidth="20730" windowHeight="8460"/>
  </bookViews>
  <sheets>
    <sheet name="FAK" sheetId="2" r:id="rId1"/>
    <sheet name="ShortIntro" sheetId="5" r:id="rId2"/>
    <sheet name="GPIB_Command_Tester" sheetId="1" r:id="rId3"/>
    <sheet name="Result" sheetId="8" r:id="rId4"/>
  </sheets>
  <definedNames>
    <definedName name="wp1006514238" localSheetId="2">GPIB_Command_Tester!#REF!</definedName>
    <definedName name="wp1006527918" localSheetId="2">GPIB_Command_Tester!#REF!</definedName>
    <definedName name="wp1006579494" localSheetId="2">GPIB_Command_Tester!#REF!</definedName>
  </definedNames>
  <calcPr calcId="171027"/>
</workbook>
</file>

<file path=xl/calcChain.xml><?xml version="1.0" encoding="utf-8"?>
<calcChain xmlns="http://schemas.openxmlformats.org/spreadsheetml/2006/main">
  <c r="P21" i="8" l="1"/>
  <c r="P20" i="8"/>
  <c r="P19" i="8"/>
  <c r="P17" i="8"/>
  <c r="P16" i="8"/>
  <c r="P15" i="8"/>
  <c r="P14" i="8"/>
  <c r="P13" i="8"/>
  <c r="P12" i="8"/>
  <c r="P11" i="8"/>
  <c r="A2" i="8" l="1"/>
  <c r="B12" i="8"/>
  <c r="C12" i="8" s="1"/>
  <c r="P10" i="8" l="1"/>
  <c r="O7" i="8"/>
  <c r="O6" i="8"/>
  <c r="O5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P7" i="8" s="1"/>
  <c r="L5" i="8"/>
  <c r="I22" i="8"/>
  <c r="I21" i="8"/>
  <c r="I20" i="8"/>
  <c r="I19" i="8"/>
  <c r="I16" i="8"/>
  <c r="I15" i="8"/>
  <c r="I17" i="8"/>
  <c r="I18" i="8"/>
  <c r="I14" i="8"/>
  <c r="P6" i="8" s="1"/>
  <c r="I13" i="8"/>
  <c r="I12" i="8"/>
  <c r="I11" i="8"/>
  <c r="I10" i="8"/>
  <c r="I9" i="8"/>
  <c r="I8" i="8"/>
  <c r="I7" i="8"/>
  <c r="I6" i="8"/>
  <c r="I5" i="8"/>
  <c r="P5" i="8" s="1"/>
  <c r="B10" i="8" l="1"/>
  <c r="C10" i="8" s="1"/>
  <c r="B4" i="8" l="1"/>
  <c r="C4" i="8" s="1"/>
  <c r="F9" i="8" l="1"/>
  <c r="B6" i="8"/>
  <c r="C6" i="8" s="1"/>
  <c r="F6" i="8"/>
  <c r="B8" i="8"/>
  <c r="C8" i="8" s="1"/>
  <c r="Q7" i="8" l="1"/>
  <c r="Q6" i="8"/>
  <c r="Q5" i="8"/>
  <c r="F18" i="8"/>
  <c r="F19" i="8"/>
  <c r="F20" i="8"/>
  <c r="F21" i="8"/>
  <c r="F22" i="8"/>
  <c r="F17" i="8"/>
  <c r="F7" i="8"/>
  <c r="F8" i="8"/>
  <c r="F10" i="8"/>
  <c r="F11" i="8"/>
  <c r="F5" i="8"/>
  <c r="H6" i="8" l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C5" i="1" l="1"/>
  <c r="A1" i="2" l="1"/>
</calcChain>
</file>

<file path=xl/sharedStrings.xml><?xml version="1.0" encoding="utf-8"?>
<sst xmlns="http://schemas.openxmlformats.org/spreadsheetml/2006/main" count="299" uniqueCount="173">
  <si>
    <t>Remark</t>
  </si>
  <si>
    <t>Command</t>
  </si>
  <si>
    <t>Return</t>
  </si>
  <si>
    <t>Err ?</t>
  </si>
  <si>
    <t xml:space="preserve"> </t>
  </si>
  <si>
    <t>Addr.</t>
  </si>
  <si>
    <t xml:space="preserve">GPIB Time Out (sec):    </t>
  </si>
  <si>
    <t xml:space="preserve">Read Err status after each step (Y/N):    </t>
  </si>
  <si>
    <t xml:space="preserve">Language to read error info (COMP/SCPI/Auto):    </t>
  </si>
  <si>
    <t>WCSS</t>
  </si>
  <si>
    <t xml:space="preserve">GPIB CMD Tester ( A.01.00) </t>
  </si>
  <si>
    <t xml:space="preserve">        SETTINGS          </t>
  </si>
  <si>
    <t>&lt; Back</t>
  </si>
  <si>
    <t>*IDN?</t>
  </si>
  <si>
    <t>Y</t>
  </si>
  <si>
    <t>SCPI</t>
  </si>
  <si>
    <t>:SYST:PRES</t>
  </si>
  <si>
    <t>Freq (Mhz)</t>
  </si>
  <si>
    <t>Spec:FREQ:SPAN 10kHz;:CALC:spec:MARK1:Y?</t>
  </si>
  <si>
    <t>Spec:FREQ:SPAN 100kHz;:CALC:spec:MARK1:Y?</t>
  </si>
  <si>
    <t>Spec:FREQ:SPAN 1000kHz;:CALC:spec:MARK1:Y?</t>
  </si>
  <si>
    <t>Spec:FREQ:SPAN 10MHz;:CALC:spec:MARK1:Y?</t>
  </si>
  <si>
    <t>Spec:FREQ:SPAN 20MHz;:CALC:spec:MARK1:Y?</t>
  </si>
  <si>
    <t>Spec:FREQ:SPAN 40MHz;:CALC:spec:MARK1:Y?</t>
  </si>
  <si>
    <t>SOUR:POW -20;:SOUR:POW?;:OUTPUT ON</t>
  </si>
  <si>
    <t>Amp(dBm)</t>
  </si>
  <si>
    <t>/*RFIO1 CW输出功率测试</t>
  </si>
  <si>
    <t>RFIO1 CW Output
RFIO2 Input</t>
  </si>
  <si>
    <t>Atten setting</t>
  </si>
  <si>
    <t>Amp</t>
  </si>
  <si>
    <t>Span</t>
  </si>
  <si>
    <t>10Mhz</t>
  </si>
  <si>
    <t>10Khz</t>
  </si>
  <si>
    <t>100Khz</t>
  </si>
  <si>
    <t>1000Khz</t>
  </si>
  <si>
    <t>20Mhz</t>
  </si>
  <si>
    <t>40Mhz</t>
  </si>
  <si>
    <t>50Mhz (Span)</t>
  </si>
  <si>
    <t>50Mhz (Attenuator)</t>
  </si>
  <si>
    <t>:FEED:AREF REF50;:FREQ:CENT 50 MHZ</t>
  </si>
  <si>
    <t>:CALC:SPEC:MARK1:MAX;:CALC:spec:MARK1:Y?</t>
  </si>
  <si>
    <t>POW:ATT 0;</t>
  </si>
  <si>
    <t>:CALC:SPEC:MARK1:MAX;:CALC:spec:MARK1:Y?;:POW:ATT 2</t>
  </si>
  <si>
    <t>:CALC:SPEC:MARK1:MAX;:CALC:spec:MARK1:Y?;:POW:ATT 4</t>
  </si>
  <si>
    <t>:CALC:SPEC:MARK1:MAX;:CALC:spec:MARK1:Y?;:POW:ATT 6</t>
  </si>
  <si>
    <t>:CALC:SPEC:MARK1:MAX;:CALC:spec:MARK1:Y?;:POW:ATT 10</t>
  </si>
  <si>
    <t>Spec:FREQ:SPAN 1000 Hz;:CALC:SPEC:MARK1:MAX;:CALC:spec:MARK1:Y?;:POW:ATT 20</t>
  </si>
  <si>
    <t>CALC:SPEC:MARK1:MAX;:CALC:spec:MARK1:Y?;:POW:ATT 30</t>
  </si>
  <si>
    <t>/*打开50Mhz internal calibrator</t>
  </si>
  <si>
    <t>/*测试0dB衰减器</t>
  </si>
  <si>
    <t>/*测试2dB衰减器</t>
  </si>
  <si>
    <t>/*测试4dB衰减器</t>
  </si>
  <si>
    <t>/*测试10dB衰减器</t>
  </si>
  <si>
    <t>/*测试20dB衰减器</t>
  </si>
  <si>
    <t>/*测试6dB衰减器</t>
  </si>
  <si>
    <t>/*测试30dB衰减器</t>
  </si>
  <si>
    <t>CALC:SPEC:MARK1:MAX;:CALC:spec:MARK1:Y?;:POW:ATT 6</t>
  </si>
  <si>
    <t>:SYST:ERR?</t>
  </si>
  <si>
    <t>/*报错信息</t>
  </si>
  <si>
    <t>:SYST:CONF?</t>
  </si>
  <si>
    <t>/*序列号，版本，license信息</t>
  </si>
  <si>
    <t>:SYSTem:PON:APPLication:LLISt?</t>
  </si>
  <si>
    <t>/*查看poweron preloading app</t>
  </si>
  <si>
    <t>Error</t>
  </si>
  <si>
    <t>Firmware &amp; License</t>
  </si>
  <si>
    <t>Power On App</t>
  </si>
  <si>
    <t>Waveform Locked</t>
  </si>
  <si>
    <t>OUTPUT OFF;:FEED:RF:PORT:OUTP RFIO2;:FEED:RF:PORT:OUTP?;:FEED:RF:PORT RFIO1</t>
  </si>
  <si>
    <t>/*RFIO1 CW输入功率测试</t>
  </si>
  <si>
    <t>SOUR:POW:ALC OFF</t>
  </si>
  <si>
    <t>/*ALC OFF</t>
  </si>
  <si>
    <t>Δ</t>
  </si>
  <si>
    <t>ALC OFF</t>
  </si>
  <si>
    <t>ALC ON</t>
  </si>
  <si>
    <t>SOUR:RAD:ARB:MPL:NAME:LOCKed?</t>
  </si>
  <si>
    <t>/*查看已锁波形</t>
  </si>
  <si>
    <t>Result</t>
  </si>
  <si>
    <t>:SYST:PRES;:Spec:FREQ:SPAN 100kHz</t>
  </si>
  <si>
    <t>OUTPUT OFF;:FEED:RF:PORT:OUTP RFIO1;:FEED:RF:PORT:OUTP?;:FEED:RF:PORT RFIO2;:SOUR:FREQ 100 MHZ;:FREQ:CENT 100 MHZ;:SOUR:POW -20;:OUTPUT ON</t>
  </si>
  <si>
    <t>CALC:SPEC:MARK1:MAX;:CALC:spec:MARK1:Y?</t>
  </si>
  <si>
    <t>SOUR:FREQ 200 MHZ;:FREQ:CENT 200 MHZ</t>
  </si>
  <si>
    <t>SOUR:FREQ 100 MHZ;:FREQ:CENT 100 MHZ</t>
  </si>
  <si>
    <t>SOUR:POW?</t>
  </si>
  <si>
    <t>SOUR:FREQ 300 MHZ;:FREQ:CENT 300 MHZ</t>
  </si>
  <si>
    <t>SOUR:FREQ 400 MHZ;:FREQ:CENT 400 MHZ</t>
  </si>
  <si>
    <t>SOUR:FREQ 500 MHZ;:FREQ:CENT 500 MHZ</t>
  </si>
  <si>
    <t>SOUR:FREQ 600 MHZ;:FREQ:CENT 600 MHZ</t>
  </si>
  <si>
    <t>SOUR:FREQ 700 MHZ;:FREQ:CENT 700 MHZ</t>
  </si>
  <si>
    <t>SOUR:FREQ 800 MHZ;:FREQ:CENT 800 MHZ</t>
  </si>
  <si>
    <t>SOUR:FREQ 900 MHZ;:FREQ:CENT 900 MHZ</t>
  </si>
  <si>
    <t>SOUR:FREQ 1000 MHZ;:FREQ:CENT 1000 MHZ</t>
  </si>
  <si>
    <t>SOUR:FREQ 1100 MHZ;:FREQ:CENT 1100 MHZ</t>
  </si>
  <si>
    <t>SOUR:FREQ 1200 MHZ;:FREQ:CENT 1200 MHZ</t>
  </si>
  <si>
    <t>SOUR:FREQ 1300 MHZ;:FREQ:CENT 1300 MHZ</t>
  </si>
  <si>
    <t>SOUR:FREQ 1400 MHZ;:FREQ:CENT 1400 MHZ</t>
  </si>
  <si>
    <t>SOUR:FREQ 1500 MHZ;:FREQ:CENT 1500 MHZ</t>
  </si>
  <si>
    <t>SOUR:FREQ 1600 MHZ;:FREQ:CENT 1600 MHZ</t>
  </si>
  <si>
    <t>SOUR:FREQ 1700 MHZ;:FREQ:CENT 1700 MHZ</t>
  </si>
  <si>
    <t>SOUR:FREQ 1800 MHZ;:FREQ:CENT 1800 MHZ</t>
  </si>
  <si>
    <t>SOUR:FREQ 1900 MHZ;:FREQ:CENT 1900 MHZ</t>
  </si>
  <si>
    <t>SOUR:FREQ 2000 MHZ;:FREQ:CENT 2000 MHZ</t>
  </si>
  <si>
    <t>SOUR:FREQ 2100 MHZ;:FREQ:CENT 2100 MHZ</t>
  </si>
  <si>
    <t>SOUR:FREQ 2200 MHZ;:FREQ:CENT 2200 MHZ</t>
  </si>
  <si>
    <t>SOUR:FREQ 2300 MHZ;:FREQ:CENT 2300 MHZ</t>
  </si>
  <si>
    <t>SOUR:FREQ 2400 MHZ;:FREQ:CENT 2400 MHZ</t>
  </si>
  <si>
    <t>SOUR:FREQ 2500 MHZ;:FREQ:CENT 2500 MHZ</t>
  </si>
  <si>
    <t>SOUR:FREQ 2600 MHZ;:FREQ:CENT 2600 MHZ</t>
  </si>
  <si>
    <t>SOUR:FREQ 2700 MHZ;:FREQ:CENT 2700 MHZ</t>
  </si>
  <si>
    <t>SOUR:FREQ 2800 MHZ;:FREQ:CENT 2800 MHZ</t>
  </si>
  <si>
    <t>SOUR:FREQ 2900 MHZ;:FREQ:CENT 2900 MHZ</t>
  </si>
  <si>
    <t>SOUR:FREQ 3000 MHZ;:FREQ:CENT 3000 MHZ</t>
  </si>
  <si>
    <t>SOUR:FREQ 3100 MHZ;:FREQ:CENT 3100 MHZ</t>
  </si>
  <si>
    <t>SOUR:FREQ 3200 MHZ;:FREQ:CENT 3200 MHZ</t>
  </si>
  <si>
    <t>SOUR:FREQ 3300 MHZ;:FREQ:CENT 3300 MHZ</t>
  </si>
  <si>
    <t>SOUR:FREQ 3400 MHZ;:FREQ:CENT 3400 MHZ</t>
  </si>
  <si>
    <t>SOUR:FREQ 3500 MHZ;:FREQ:CENT 3500 MHZ</t>
  </si>
  <si>
    <t>SOUR:FREQ 3600 MHZ;:FREQ:CENT 3600 MHZ</t>
  </si>
  <si>
    <t>SOUR:FREQ 1 GHZ;:FREQ:CENT 1 GHZ</t>
  </si>
  <si>
    <t>SOUR:FREQ 1.5 GHZ;:FREQ:CENT 1.5 GHZ</t>
  </si>
  <si>
    <t>SOUR:FREQ 2 GHZ;:FREQ:CENT 2 GHZ</t>
  </si>
  <si>
    <t>SOUR:FREQ 2.5 GHZ;:FREQ:CENT 2.5 GHZ</t>
  </si>
  <si>
    <t>SOUR:FREQ 3 GHZ;:FREQ:CENT 3 GHZ</t>
  </si>
  <si>
    <t>SOUR:FREQ 3.5 GHZ;:FREQ:CENT 3.5 GHZ</t>
  </si>
  <si>
    <t>SOUR:POW:ALC ON</t>
  </si>
  <si>
    <t>RFIO1, RFIO2通过Cable线连接，回环测1口的发射接收</t>
  </si>
  <si>
    <t>-</t>
  </si>
  <si>
    <t>+0,"No error"</t>
  </si>
  <si>
    <t>Waveform in Disk</t>
  </si>
  <si>
    <t>:MMEM:CAT? "D:\NVARB"</t>
  </si>
  <si>
    <t>RFIO1</t>
  </si>
  <si>
    <t>/*查看硬盘波形</t>
  </si>
  <si>
    <t>:INST:NSEL 8</t>
  </si>
  <si>
    <t>/*选择BASIC模式LOAD WAV</t>
  </si>
  <si>
    <t xml:space="preserve">SOUR:RAD:ARB:LOAD "NVWFM:GSM_MCS9_PN15.WFM";*OPC? </t>
  </si>
  <si>
    <t>SOUR:RAD:ARB:WAV "GSM_MCS9_PN15.WFM"</t>
  </si>
  <si>
    <t>/*选择GSM_MCS9_PN15.WFM波形</t>
  </si>
  <si>
    <t xml:space="preserve">:INST:CAT?  </t>
  </si>
  <si>
    <t>:INST:NSEL 13</t>
  </si>
  <si>
    <t>/*选择GSMEDGE模式</t>
  </si>
  <si>
    <t>CONFigure:CATalog?</t>
  </si>
  <si>
    <t>/*查看meas里面测试项</t>
  </si>
  <si>
    <t>CONFigure:EEVM</t>
  </si>
  <si>
    <t>CALC:CLIM:FAIL?</t>
  </si>
  <si>
    <t>/*查看测试结果0 pass,1 fail</t>
  </si>
  <si>
    <t>SOUR:RAD:ARB:WAV "GSM_BURST.WFM"</t>
  </si>
  <si>
    <t>CONFigure:EEVM;:CALC:CLIM:FAIL?</t>
  </si>
  <si>
    <t>/*选择C2K模式LOAD WAV</t>
  </si>
  <si>
    <t>SOUR:RAD:ARB:WAV "CDMA2K_PILOT.WFM"</t>
  </si>
  <si>
    <t>:INST:NSEL 10</t>
  </si>
  <si>
    <t>SOUR:FREQ 1Ghz</t>
  </si>
  <si>
    <t>CONFigure:RHO</t>
  </si>
  <si>
    <t>/*检测调制波形</t>
  </si>
  <si>
    <t>SOUR:POW -10 dBm;:SOUR:FREQ 935.2Mhz</t>
  </si>
  <si>
    <t>SOUR:RAD:ARB ON;:OUTP:MOD ON;:OUTP ON</t>
  </si>
  <si>
    <t>#DelaySecond 1</t>
  </si>
  <si>
    <t>SOUR:RAD:ARB:LOAD "NVWFM:GSM_BURST.WFM"</t>
  </si>
  <si>
    <t>#DelaySecond 5</t>
  </si>
  <si>
    <t>SOUR:RAD:ARB:LOAD "NVWFM:CDMA2K_PILOT.WFM"</t>
  </si>
  <si>
    <t>:INST:NSEL 8;:SYST:PRES</t>
  </si>
  <si>
    <t>ALC Test</t>
  </si>
  <si>
    <t>RFIO1 Input Test</t>
  </si>
  <si>
    <t>Source Modulation Test</t>
  </si>
  <si>
    <t>GSM_MCS9_PN15</t>
  </si>
  <si>
    <t>GSM_BURST</t>
  </si>
  <si>
    <t>CDMA2K_PILOT</t>
  </si>
  <si>
    <t>System &amp; Softwar information</t>
  </si>
  <si>
    <t>:SYST:PRES;:INST:NSEL 8</t>
  </si>
  <si>
    <t>Agilent Technologies,E6607A,MY51285985,A.12.75</t>
  </si>
  <si>
    <t>4688736256,18235117568,"10M_12RB_0SRB_16QAM.wfm,,12288368","10M_1RB_0SRB_16QAM.wfm,,12288368","10M_1RB_0SRB_QPSK.wfm,,12288368","10M_1RB_24SRB_QPSK.wfm,,12288368","10M_1RB_49SRB_QPSK.wfm,,12288368","10M_50RB_0SRB_16QAM.wfm,,12288368","10M_50RB_0SRB_QPSK.wfm,,12288368","10M_6RB_0SRB_QPSK.wfm,,12288368","10M_6RB_22SRB_QPSK.wfm,,12288368","10M_6RB_44SRB_QPSK.wfm,,12288368","c2k-rc1-full.HEADER,,138","c2k-rc1-full.WAVEFORM,,4718592","C2K_onechannel.wfm,,328064","C2K_RC1_FULL_4Superframes.wfm,,11796976","CDMA2K_9CHAN.WFM,,1310960","CDMA2K_PILOT.WFM,,655616","CW_TOI_2TONE.WFM,,2816","DCHSDPA_10M.wfm,,3072464","EDGE_1C_BURST.WFM,,1250320","EDGE_BURST.WFM,,9750192","EVDO_2010_10_29.WFM,,31457760","glonass-EXT-07Jun2011.bin,,122640000","GMSK_RFMODE.WFM,,325360","GPS_SV27.wfm,,20000336","GSM_1C_BURST.WFM,,1250320","GSM_BURST.WFM,,9750192","GSM_MCS1.WFM,,16575424","GSM_MCS9_PN15.WFM,,650432","Intel-GSM-CS4-400bit.wfm,,33150432","LTETDD_10M_MCS5_CFG1_4_AGG8_2.WFM,,10752368","MCS4_SLOT34_BER.WFM,,637936","MT_31TONES_2MHZSPC.WFM,,4256","MT_7TONES_2KHZSPC.WFM,,6560","multitone_4.header,,229","MultiTone_4.WAVEFORM,,250000","Nullwaveform.bin,,40000","null_wfm2.txt,,14","QAM16.WFM,,327904","QC_LTEFDD_5M_2015.wfm,,6144368","QC_LTE_TDD_10MHz_2015.wfm,,10752368","QC_WCDMA_ALLUP_2016.wfm,,3072464","QPSK.WFM,,327872","RMC64K_16Frames.WFM,,9216464","SINE_TEST.WFM,,4288","TCHSlot3_new.wfm,,8287936","TDSCDMA_12.2KRMC_CLPC.WFM,,15360416","TDSCDMA_12.2KRMC_QC_2.WFM,,1024416","TDSCDMA_RFMode.wfm,,327920","WCDMA_1DPCH.WFM,,1536192","WCDMA_ILPC_PN9.WFM,,3264464","WCDMA_NS.wfm,,4608464","WCDMA_TM1_64DPCH_1C.WFM,,1536224","WCDMA_TM1_64DPCH_4C.WFM,,1344224","WLAN20MHZ54M64QAM.WFM,,112240"</t>
  </si>
  <si>
    <t xml:space="preserve">#3640Agilent Technologies
Product#: E6607A
Serial#: MY51285985
Firmware Revision:A.12.75
Hostname: A-E6607A-85985
IP Addr: 127.0.0.1
Host ID: E6607A,MY51285985
E6607A-221: (1.0.0.0)
E6607A-222: (1.0.0.0)
E6607A-250: (1.0.0.0)
E6607A-503: (1.0.0.0)
E6607A-B25: (1.0.0.0)
E6607A-B40: (1.0.0.0)
E6607A-EA3: (1.0.0.0)
E6607A-P03: (1.0.0.0)
E6607A-RFO: (1.0.0.0)
E6607A-SRC: (1.0.0.0)
N7601B-8FP: (1.0.0.0)
N7601B-FFP: (1.0.0.0)
N7601B-SFP: (1.0.0.0)
U9060A-2FP: (1.0.0.0)
U9065A-2FP: (1.0.0.0)
U9071A-2FP: (1.0.0.0)
U9072A-2FP: (1.0.0.0)
U9073A-1FP: (1.0.0.0)
U9076A-1FP: (1.0.0.0)
U9079A-1FP: (1.0.0.0)
U9080A-1FP: (1.0.0.0)
U9082A-1FP: (1.0.0.0)
</t>
  </si>
  <si>
    <t>"BASIC,LTE,CDMA1XEV,SEQAN,EDGEGSM,WCDMA,CDMA2K,TDSCDMA,LTETDD"</t>
  </si>
  <si>
    <t>"GSM_MCS1.WFM","GSM_MCS9_PN15.WFM","WCDMA_ILPC_PN9.WFM","EVDO_2010_10_29.WFM","RMC64K_16Frames.WFM","MCS4_SLOT34_BER.WFM","DCHSDPA_10M.wfm","10M_1RB_0SRB_16QAM.wfm","10M_1RB_0SRB_QPSK.wfm","10M_1RB_24SRB_QPSK.wfm","10M_1RB_49SRB_QPSK.wfm","10M_6RB_0SRB_QPSK.wfm","10M_6RB_22SRB_QPSK.wfm","10M_6RB_44SRB_QPSK.wfm","10M_12RB_0SRB_16QAM.wfm","10M_50RB_0SRB_16QAM.wfm","10M_50RB_0SRB_QPSK.wfm","C2K_onechannel.wfm","GMSK_RFMODE.WFM","LTETDD_10M_MCS5_CFG1_4_AGG8_2.WFM","TDSCDMA_12.2KRMC_CLPC.WFM","TDSCDMA_12.2KRMC_QC_2.WFM","GPS_SV27.wfm","C2K_RC1_FULL_4Superframes.wfm","Intel-GSM-CS4-400bit.wfm","QC_LTE_TDD_10MHz_2015.wfm","QC_WCDMA_ALLUP_2016.wfm","TCHSlot3_new.wfm","WCDMA_NS.wfm","QC_LTEFDD_5M_2015.wfm"</t>
  </si>
  <si>
    <t>:FEED:RF:PORT RFIO2;::FEED:RF:PORT:OUTP RFIO1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</si>
</sst>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  <font>
      <b/>
      <sz val="12"/>
      <name val="宋体"/>
      <family val="2"/>
      <scheme val="minor"/>
    </font>
    <font>
      <sz val="11"/>
      <color rgb="FF3F3F76"/>
      <name val="宋体"/>
      <family val="2"/>
      <scheme val="minor"/>
    </font>
    <font>
      <sz val="11"/>
      <color theme="0"/>
      <name val="宋体"/>
      <family val="2"/>
      <scheme val="minor"/>
    </font>
    <font>
      <b/>
      <sz val="11"/>
      <name val="宋体"/>
      <family val="2"/>
      <scheme val="minor"/>
    </font>
    <font>
      <sz val="11"/>
      <color theme="3" tint="0.39997558519241921"/>
      <name val="宋体"/>
      <family val="2"/>
      <scheme val="minor"/>
    </font>
    <font>
      <sz val="11"/>
      <color rgb="FFFFFF00"/>
      <name val="宋体"/>
      <family val="2"/>
      <scheme val="minor"/>
    </font>
    <font>
      <b/>
      <sz val="11"/>
      <color theme="9" tint="0.59999389629810485"/>
      <name val="宋体"/>
      <family val="2"/>
      <scheme val="minor"/>
    </font>
    <font>
      <sz val="11"/>
      <color rgb="FFC00000"/>
      <name val="宋体"/>
      <family val="2"/>
      <scheme val="minor"/>
    </font>
    <font>
      <u/>
      <sz val="12"/>
      <color theme="0"/>
      <name val="Comic Sans MS"/>
      <family val="4"/>
    </font>
    <font>
      <sz val="11"/>
      <color theme="1" tint="0.499984740745262"/>
      <name val="宋体"/>
      <family val="2"/>
      <scheme val="minor"/>
    </font>
    <font>
      <b/>
      <sz val="14"/>
      <color theme="1" tint="0.499984740745262"/>
      <name val="宋体"/>
      <family val="2"/>
      <scheme val="minor"/>
    </font>
    <font>
      <b/>
      <sz val="16"/>
      <color theme="1" tint="0.499984740745262"/>
      <name val="宋体"/>
      <family val="2"/>
      <scheme val="minor"/>
    </font>
    <font>
      <b/>
      <sz val="11"/>
      <color theme="1" tint="0.499984740745262"/>
      <name val="宋体"/>
      <family val="2"/>
      <scheme val="minor"/>
    </font>
    <font>
      <u/>
      <sz val="11"/>
      <color theme="10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b/>
      <sz val="14"/>
      <name val="宋体"/>
      <family val="2"/>
      <scheme val="minor"/>
    </font>
    <font>
      <b/>
      <sz val="14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theme="0" tint="-0.499984740745262"/>
      </left>
      <right/>
      <top/>
      <bottom/>
      <diagonal/>
    </border>
    <border>
      <left/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/>
      <right style="dott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/>
      <top/>
      <bottom style="thin">
        <color indexed="64"/>
      </bottom>
      <diagonal/>
    </border>
    <border>
      <left/>
      <right style="dotted">
        <color theme="0" tint="-0.499984740745262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4" fillId="4" borderId="2" applyNumberFormat="0" applyAlignment="0" applyProtection="0"/>
    <xf numFmtId="0" fontId="5" fillId="5" borderId="0" applyNumberFormat="0" applyBorder="0" applyAlignment="0" applyProtection="0"/>
    <xf numFmtId="0" fontId="16" fillId="0" borderId="0" applyNumberFormat="0" applyFill="0" applyBorder="0" applyAlignment="0" applyProtection="0"/>
    <xf numFmtId="0" fontId="4" fillId="4" borderId="2" applyNumberFormat="0" applyAlignment="0" applyProtection="0"/>
    <xf numFmtId="0" fontId="5" fillId="5" borderId="0" applyNumberFormat="0" applyBorder="0" applyAlignment="0" applyProtection="0"/>
  </cellStyleXfs>
  <cellXfs count="128">
    <xf numFmtId="0" fontId="0" fillId="0" borderId="0" xfId="0"/>
    <xf numFmtId="0" fontId="1" fillId="0" borderId="0" xfId="0" applyFont="1"/>
    <xf numFmtId="0" fontId="2" fillId="0" borderId="0" xfId="0" applyFont="1"/>
    <xf numFmtId="0" fontId="2" fillId="3" borderId="0" xfId="0" applyFont="1" applyFill="1" applyBorder="1"/>
    <xf numFmtId="0" fontId="2" fillId="0" borderId="0" xfId="0" applyFont="1" applyBorder="1"/>
    <xf numFmtId="0" fontId="2" fillId="3" borderId="4" xfId="0" applyFont="1" applyFill="1" applyBorder="1"/>
    <xf numFmtId="0" fontId="1" fillId="3" borderId="4" xfId="0" applyFont="1" applyFill="1" applyBorder="1"/>
    <xf numFmtId="0" fontId="7" fillId="0" borderId="0" xfId="0" applyFont="1" applyFill="1" applyAlignment="1">
      <alignment horizontal="center" vertical="center"/>
    </xf>
    <xf numFmtId="0" fontId="2" fillId="3" borderId="1" xfId="0" applyFont="1" applyFill="1" applyBorder="1"/>
    <xf numFmtId="0" fontId="7" fillId="0" borderId="7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/>
    </xf>
    <xf numFmtId="0" fontId="7" fillId="3" borderId="12" xfId="0" applyFont="1" applyFill="1" applyBorder="1"/>
    <xf numFmtId="0" fontId="7" fillId="0" borderId="8" xfId="0" applyFont="1" applyBorder="1"/>
    <xf numFmtId="0" fontId="2" fillId="3" borderId="6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6" fillId="0" borderId="0" xfId="0" applyFont="1" applyBorder="1"/>
    <xf numFmtId="0" fontId="3" fillId="3" borderId="1" xfId="0" applyFont="1" applyFill="1" applyBorder="1" applyAlignment="1">
      <alignment horizontal="center" vertical="center"/>
    </xf>
    <xf numFmtId="0" fontId="2" fillId="0" borderId="0" xfId="0" quotePrefix="1" applyFont="1" applyFill="1" applyBorder="1"/>
    <xf numFmtId="0" fontId="2" fillId="0" borderId="0" xfId="0" applyFont="1" applyFill="1" applyBorder="1"/>
    <xf numFmtId="0" fontId="8" fillId="6" borderId="0" xfId="0" applyFont="1" applyFill="1" applyBorder="1"/>
    <xf numFmtId="0" fontId="8" fillId="6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right"/>
    </xf>
    <xf numFmtId="0" fontId="8" fillId="6" borderId="13" xfId="0" applyFont="1" applyFill="1" applyBorder="1" applyAlignment="1">
      <alignment horizontal="center" vertical="center"/>
    </xf>
    <xf numFmtId="0" fontId="8" fillId="6" borderId="13" xfId="0" applyFont="1" applyFill="1" applyBorder="1"/>
    <xf numFmtId="0" fontId="8" fillId="6" borderId="13" xfId="0" applyFont="1" applyFill="1" applyBorder="1" applyAlignment="1">
      <alignment horizontal="left"/>
    </xf>
    <xf numFmtId="0" fontId="8" fillId="6" borderId="14" xfId="0" applyFont="1" applyFill="1" applyBorder="1" applyAlignment="1">
      <alignment horizontal="center" vertical="center"/>
    </xf>
    <xf numFmtId="0" fontId="8" fillId="6" borderId="14" xfId="0" applyFont="1" applyFill="1" applyBorder="1"/>
    <xf numFmtId="0" fontId="8" fillId="6" borderId="14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right"/>
    </xf>
    <xf numFmtId="0" fontId="9" fillId="6" borderId="0" xfId="0" applyFont="1" applyFill="1" applyBorder="1" applyAlignment="1">
      <alignment horizontal="left"/>
    </xf>
    <xf numFmtId="0" fontId="10" fillId="6" borderId="0" xfId="0" applyFont="1" applyFill="1" applyBorder="1" applyAlignment="1">
      <alignment horizontal="left"/>
    </xf>
    <xf numFmtId="0" fontId="8" fillId="3" borderId="0" xfId="0" applyFont="1" applyFill="1" applyBorder="1"/>
    <xf numFmtId="0" fontId="8" fillId="3" borderId="13" xfId="0" applyFont="1" applyFill="1" applyBorder="1"/>
    <xf numFmtId="0" fontId="8" fillId="3" borderId="14" xfId="0" applyFont="1" applyFill="1" applyBorder="1"/>
    <xf numFmtId="0" fontId="8" fillId="3" borderId="15" xfId="0" applyFont="1" applyFill="1" applyBorder="1"/>
    <xf numFmtId="0" fontId="8" fillId="6" borderId="15" xfId="0" applyFont="1" applyFill="1" applyBorder="1"/>
    <xf numFmtId="0" fontId="8" fillId="6" borderId="15" xfId="0" applyFont="1" applyFill="1" applyBorder="1" applyAlignment="1">
      <alignment horizontal="center" vertical="center"/>
    </xf>
    <xf numFmtId="0" fontId="6" fillId="2" borderId="3" xfId="2" applyFont="1" applyFill="1" applyBorder="1" applyAlignment="1">
      <alignment vertical="center"/>
    </xf>
    <xf numFmtId="0" fontId="6" fillId="2" borderId="4" xfId="2" applyFont="1" applyFill="1" applyBorder="1" applyAlignment="1">
      <alignment horizontal="center" vertical="center"/>
    </xf>
    <xf numFmtId="0" fontId="6" fillId="2" borderId="4" xfId="2" applyFont="1" applyFill="1" applyBorder="1" applyAlignment="1">
      <alignment horizontal="left" vertical="center"/>
    </xf>
    <xf numFmtId="0" fontId="6" fillId="2" borderId="5" xfId="2" applyFont="1" applyFill="1" applyBorder="1" applyAlignment="1">
      <alignment horizontal="center" vertical="center"/>
    </xf>
    <xf numFmtId="0" fontId="6" fillId="2" borderId="9" xfId="1" applyFont="1" applyFill="1" applyBorder="1" applyAlignment="1">
      <alignment vertical="center"/>
    </xf>
    <xf numFmtId="0" fontId="6" fillId="2" borderId="4" xfId="1" applyFont="1" applyFill="1" applyBorder="1" applyAlignment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8" fillId="8" borderId="0" xfId="0" applyFont="1" applyFill="1" applyBorder="1" applyAlignment="1">
      <alignment horizontal="left"/>
    </xf>
    <xf numFmtId="0" fontId="8" fillId="8" borderId="0" xfId="0" applyFont="1" applyFill="1" applyBorder="1"/>
    <xf numFmtId="0" fontId="10" fillId="8" borderId="0" xfId="0" applyFont="1" applyFill="1" applyBorder="1" applyAlignment="1">
      <alignment horizontal="left"/>
    </xf>
    <xf numFmtId="0" fontId="8" fillId="8" borderId="13" xfId="0" applyFont="1" applyFill="1" applyBorder="1" applyAlignment="1">
      <alignment horizontal="left"/>
    </xf>
    <xf numFmtId="0" fontId="8" fillId="8" borderId="13" xfId="0" applyFont="1" applyFill="1" applyBorder="1"/>
    <xf numFmtId="0" fontId="8" fillId="8" borderId="14" xfId="0" applyFont="1" applyFill="1" applyBorder="1" applyAlignment="1">
      <alignment horizontal="left"/>
    </xf>
    <xf numFmtId="0" fontId="8" fillId="8" borderId="14" xfId="0" applyFont="1" applyFill="1" applyBorder="1"/>
    <xf numFmtId="0" fontId="2" fillId="8" borderId="0" xfId="0" quotePrefix="1" applyFont="1" applyFill="1" applyAlignment="1">
      <alignment horizontal="left"/>
    </xf>
    <xf numFmtId="0" fontId="2" fillId="8" borderId="0" xfId="0" applyFont="1" applyFill="1" applyBorder="1"/>
    <xf numFmtId="0" fontId="2" fillId="8" borderId="0" xfId="0" applyFont="1" applyFill="1" applyAlignment="1">
      <alignment horizontal="left"/>
    </xf>
    <xf numFmtId="0" fontId="12" fillId="7" borderId="0" xfId="0" applyFont="1" applyFill="1" applyBorder="1" applyAlignment="1">
      <alignment vertical="center"/>
    </xf>
    <xf numFmtId="0" fontId="12" fillId="7" borderId="0" xfId="0" applyFont="1" applyFill="1" applyBorder="1" applyAlignment="1">
      <alignment vertical="top"/>
    </xf>
    <xf numFmtId="0" fontId="12" fillId="3" borderId="0" xfId="0" applyFont="1" applyFill="1" applyBorder="1"/>
    <xf numFmtId="0" fontId="12" fillId="7" borderId="7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2" fillId="7" borderId="8" xfId="0" applyFont="1" applyFill="1" applyBorder="1"/>
    <xf numFmtId="0" fontId="13" fillId="7" borderId="7" xfId="0" applyFont="1" applyFill="1" applyBorder="1" applyAlignment="1">
      <alignment horizontal="center" vertical="center"/>
    </xf>
    <xf numFmtId="0" fontId="12" fillId="7" borderId="0" xfId="0" applyFont="1" applyFill="1"/>
    <xf numFmtId="0" fontId="12" fillId="7" borderId="0" xfId="0" applyFont="1" applyFill="1" applyBorder="1"/>
    <xf numFmtId="0" fontId="12" fillId="7" borderId="0" xfId="0" applyFont="1" applyFill="1" applyBorder="1" applyAlignment="1"/>
    <xf numFmtId="0" fontId="15" fillId="7" borderId="0" xfId="0" applyFont="1" applyFill="1" applyBorder="1" applyAlignment="1">
      <alignment horizontal="center"/>
    </xf>
    <xf numFmtId="0" fontId="12" fillId="7" borderId="8" xfId="1" applyFont="1" applyFill="1" applyBorder="1"/>
    <xf numFmtId="0" fontId="16" fillId="0" borderId="0" xfId="3" applyAlignment="1">
      <alignment horizontal="center"/>
    </xf>
    <xf numFmtId="11" fontId="2" fillId="8" borderId="0" xfId="0" applyNumberFormat="1" applyFont="1" applyFill="1" applyAlignment="1">
      <alignment horizontal="left"/>
    </xf>
    <xf numFmtId="0" fontId="0" fillId="0" borderId="0" xfId="0" applyAlignment="1">
      <alignment horizontal="center" vertical="center"/>
    </xf>
    <xf numFmtId="11" fontId="2" fillId="8" borderId="0" xfId="0" quotePrefix="1" applyNumberFormat="1" applyFont="1" applyFill="1" applyAlignment="1">
      <alignment horizontal="left"/>
    </xf>
    <xf numFmtId="11" fontId="0" fillId="0" borderId="0" xfId="0" applyNumberFormat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0" fontId="2" fillId="0" borderId="0" xfId="0" applyFont="1"/>
    <xf numFmtId="0" fontId="2" fillId="0" borderId="0" xfId="0" quotePrefix="1" applyFont="1"/>
    <xf numFmtId="0" fontId="2" fillId="0" borderId="0" xfId="0" applyFont="1" applyAlignment="1">
      <alignment horizontal="left" vertical="top"/>
    </xf>
    <xf numFmtId="11" fontId="2" fillId="8" borderId="0" xfId="0" quotePrefix="1" applyNumberFormat="1" applyFont="1" applyFill="1" applyAlignment="1">
      <alignment horizontal="left" wrapText="1"/>
    </xf>
    <xf numFmtId="0" fontId="2" fillId="9" borderId="0" xfId="0" applyFont="1" applyFill="1" applyBorder="1"/>
    <xf numFmtId="0" fontId="2" fillId="10" borderId="0" xfId="0" applyFont="1" applyFill="1" applyBorder="1"/>
    <xf numFmtId="0" fontId="2" fillId="10" borderId="0" xfId="0" applyFont="1" applyFill="1"/>
    <xf numFmtId="0" fontId="0" fillId="0" borderId="16" xfId="0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7" xfId="0" applyNumberFormat="1" applyBorder="1" applyAlignment="1">
      <alignment horizontal="center" vertical="center"/>
    </xf>
    <xf numFmtId="2" fontId="2" fillId="8" borderId="0" xfId="0" quotePrefix="1" applyNumberFormat="1" applyFont="1" applyFill="1" applyAlignment="1">
      <alignment horizontal="left"/>
    </xf>
    <xf numFmtId="2" fontId="2" fillId="8" borderId="0" xfId="0" applyNumberFormat="1" applyFont="1" applyFill="1" applyAlignment="1">
      <alignment horizontal="left"/>
    </xf>
    <xf numFmtId="0" fontId="17" fillId="0" borderId="18" xfId="0" applyFont="1" applyBorder="1" applyAlignment="1">
      <alignment horizontal="center" vertical="center"/>
    </xf>
    <xf numFmtId="0" fontId="7" fillId="0" borderId="0" xfId="0" applyFont="1" applyBorder="1"/>
    <xf numFmtId="0" fontId="0" fillId="0" borderId="23" xfId="0" applyNumberFormat="1" applyBorder="1" applyAlignment="1">
      <alignment horizontal="center" vertical="center"/>
    </xf>
    <xf numFmtId="0" fontId="2" fillId="9" borderId="8" xfId="0" applyFont="1" applyFill="1" applyBorder="1"/>
    <xf numFmtId="0" fontId="11" fillId="6" borderId="0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right" vertical="top" wrapText="1"/>
    </xf>
    <xf numFmtId="0" fontId="13" fillId="7" borderId="0" xfId="0" applyFont="1" applyFill="1" applyBorder="1" applyAlignment="1">
      <alignment horizontal="right" vertical="top" wrapText="1"/>
    </xf>
    <xf numFmtId="0" fontId="13" fillId="7" borderId="1" xfId="0" applyFont="1" applyFill="1" applyBorder="1" applyAlignment="1">
      <alignment horizontal="right" vertical="top" wrapText="1"/>
    </xf>
    <xf numFmtId="0" fontId="1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18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11" fontId="0" fillId="0" borderId="16" xfId="0" applyNumberFormat="1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left" vertical="top"/>
    </xf>
  </cellXfs>
  <cellStyles count="6">
    <cellStyle name="Accent1 2" xfId="5"/>
    <cellStyle name="Input 2" xfId="4"/>
    <cellStyle name="常规" xfId="0" builtinId="0"/>
    <cellStyle name="超链接" xfId="3" builtinId="8"/>
    <cellStyle name="输入" xfId="1" builtinId="20"/>
    <cellStyle name="着色 1" xfId="2" builtinId="29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theme="9" tint="-0.24994659260841701"/>
      </font>
    </dxf>
  </dxfs>
  <tableStyles count="0" defaultTableStyle="TableStyleMedium9" defaultPivotStyle="PivotStyleLight16"/>
  <colors>
    <mruColors>
      <color rgb="FF231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</xdr:row>
      <xdr:rowOff>76200</xdr:rowOff>
    </xdr:from>
    <xdr:to>
      <xdr:col>17</xdr:col>
      <xdr:colOff>323850</xdr:colOff>
      <xdr:row>33</xdr:row>
      <xdr:rowOff>123825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6991350" y="247650"/>
          <a:ext cx="5153025" cy="5534025"/>
          <a:chOff x="6391275" y="0"/>
          <a:chExt cx="4552950" cy="6143625"/>
        </a:xfrm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GrpSpPr/>
        </xdr:nvGrpSpPr>
        <xdr:grpSpPr>
          <a:xfrm>
            <a:off x="6391275" y="0"/>
            <a:ext cx="4486274" cy="400050"/>
            <a:chOff x="6391275" y="0"/>
            <a:chExt cx="4486274" cy="400050"/>
          </a:xfrm>
        </xdr:grpSpPr>
        <xdr:sp macro="" textlink="">
          <xdr:nvSpPr>
            <xdr:cNvPr id="11" name="Rounded Rectangl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6524624" y="47625"/>
              <a:ext cx="4352925" cy="314325"/>
            </a:xfrm>
            <a:prstGeom prst="roundRect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If debug error occurs, m</a:t>
              </a:r>
              <a:r>
                <a:rPr lang="en-US" sz="1100"/>
                <a:t>ake sure following</a:t>
              </a:r>
              <a:r>
                <a:rPr lang="en-US" sz="1100" baseline="0"/>
                <a:t> 2 items are selected. </a:t>
              </a:r>
              <a:endParaRPr lang="en-US" sz="1100"/>
            </a:p>
          </xdr:txBody>
        </xdr:sp>
        <xdr:sp macro="" textlink="">
          <xdr:nvSpPr>
            <xdr:cNvPr id="12" name="Oval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6391275" y="0"/>
              <a:ext cx="400050" cy="400050"/>
            </a:xfrm>
            <a:prstGeom prst="ellipse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200" b="1">
                  <a:latin typeface="Arial" pitchFamily="34" charset="0"/>
                  <a:cs typeface="Arial" pitchFamily="34" charset="0"/>
                </a:rPr>
                <a:t>2</a:t>
              </a:r>
            </a:p>
          </xdr:txBody>
        </xdr:sp>
      </xdr:grp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6667500" y="495301"/>
            <a:ext cx="4276725" cy="5648324"/>
            <a:chOff x="6667500" y="495301"/>
            <a:chExt cx="4276725" cy="5648324"/>
          </a:xfrm>
        </xdr:grpSpPr>
        <xdr:pic>
          <xdr:nvPicPr>
            <xdr:cNvPr id="2" name="Picture 2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6696075" y="981075"/>
              <a:ext cx="2066667" cy="1580952"/>
            </a:xfrm>
            <a:prstGeom prst="rect">
              <a:avLst/>
            </a:prstGeom>
            <a:ln>
              <a:noFill/>
            </a:ln>
            <a:effectLst>
              <a:outerShdw blurRad="190500" algn="tl" rotWithShape="0">
                <a:srgbClr val="000000">
                  <a:alpha val="70000"/>
                </a:srgbClr>
              </a:outerShdw>
            </a:effectLst>
          </xdr:spPr>
        </xdr:pic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6667500" y="2743200"/>
              <a:ext cx="4276725" cy="3400425"/>
              <a:chOff x="6667500" y="2743200"/>
              <a:chExt cx="4276725" cy="3400425"/>
            </a:xfrm>
          </xdr:grpSpPr>
          <xdr:pic>
            <xdr:nvPicPr>
              <xdr:cNvPr id="1028" name="Picture 4">
                <a:extLs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2" cstate="print"/>
              <a:srcRect/>
              <a:stretch>
                <a:fillRect/>
              </a:stretch>
            </xdr:blipFill>
            <xdr:spPr bwMode="auto">
              <a:xfrm>
                <a:off x="6667500" y="2743200"/>
                <a:ext cx="4276725" cy="3400425"/>
              </a:xfrm>
              <a:prstGeom prst="rect">
                <a:avLst/>
              </a:prstGeom>
              <a:ln>
                <a:noFill/>
              </a:ln>
              <a:effectLst>
                <a:outerShdw blurRad="190500" algn="tl" rotWithShape="0">
                  <a:srgbClr val="000000">
                    <a:alpha val="70000"/>
                  </a:srgbClr>
                </a:outerShdw>
              </a:effectLst>
            </xdr:spPr>
          </xdr:pic>
          <xdr:sp macro="" textlink="">
            <xdr:nvSpPr>
              <xdr:cNvPr id="14" name="Rounded Rectangle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6781800" y="3848100"/>
                <a:ext cx="2705100" cy="247650"/>
              </a:xfrm>
              <a:prstGeom prst="roundRect">
                <a:avLst/>
              </a:prstGeom>
              <a:noFill/>
              <a:ln w="19050">
                <a:solidFill>
                  <a:srgbClr val="FF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1100"/>
              </a:p>
            </xdr:txBody>
          </xdr:sp>
        </xdr:grpSp>
        <xdr:sp macro="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6677024" y="495301"/>
              <a:ext cx="3114676" cy="34290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100"/>
                <a:t>Press Alt + F11 to toggle to the VBA editor </a:t>
              </a:r>
            </a:p>
          </xdr:txBody>
        </xdr:sp>
        <xdr:cxnSp macro="">
          <xdr:nvCxnSpPr>
            <xdr:cNvPr id="19" name="Straight Arrow Connector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CxnSpPr/>
          </xdr:nvCxnSpPr>
          <xdr:spPr>
            <a:xfrm rot="16200000" flipH="1">
              <a:off x="7639844" y="2210594"/>
              <a:ext cx="1770856" cy="18256"/>
            </a:xfrm>
            <a:prstGeom prst="straightConnector1">
              <a:avLst/>
            </a:prstGeom>
            <a:ln w="19050">
              <a:headEnd type="oval" w="med" len="med"/>
              <a:tailEnd type="stealth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171450</xdr:colOff>
      <xdr:row>1</xdr:row>
      <xdr:rowOff>76200</xdr:rowOff>
    </xdr:from>
    <xdr:to>
      <xdr:col>8</xdr:col>
      <xdr:colOff>9525</xdr:colOff>
      <xdr:row>37</xdr:row>
      <xdr:rowOff>163871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171450" y="247650"/>
          <a:ext cx="5400675" cy="6259871"/>
          <a:chOff x="171450" y="76200"/>
          <a:chExt cx="4714875" cy="6945671"/>
        </a:xfrm>
      </xdr:grpSpPr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71450" y="76200"/>
            <a:ext cx="4714875" cy="406859"/>
            <a:chOff x="171450" y="0"/>
            <a:chExt cx="4714875" cy="400050"/>
          </a:xfrm>
        </xdr:grpSpPr>
        <xdr:sp macro="" textlink="">
          <xdr:nvSpPr>
            <xdr:cNvPr id="7" name="Rounded Rectangle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304800" y="47625"/>
              <a:ext cx="4581525" cy="314325"/>
            </a:xfrm>
            <a:prstGeom prst="roundRect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100"/>
                <a:t>Please do this each time you open the excel tool</a:t>
              </a:r>
            </a:p>
          </xdr:txBody>
        </xdr:sp>
        <xdr:sp macro="" textlink="">
          <xdr:nvSpPr>
            <xdr:cNvPr id="8" name="Oval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171450" y="0"/>
              <a:ext cx="400050" cy="400050"/>
            </a:xfrm>
            <a:prstGeom prst="ellipse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200" b="1">
                  <a:latin typeface="Arial" pitchFamily="34" charset="0"/>
                  <a:cs typeface="Arial" pitchFamily="34" charset="0"/>
                </a:rPr>
                <a:t>1</a:t>
              </a:r>
            </a:p>
          </xdr:txBody>
        </xdr:sp>
      </xdr:grpSp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285750" y="512121"/>
            <a:ext cx="4600575" cy="6509750"/>
            <a:chOff x="285750" y="512121"/>
            <a:chExt cx="4600575" cy="6509750"/>
          </a:xfrm>
        </xdr:grpSpPr>
        <xdr:pic>
          <xdr:nvPicPr>
            <xdr:cNvPr id="1026" name="Picture 2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/>
            <a:srcRect/>
            <a:stretch>
              <a:fillRect/>
            </a:stretch>
          </xdr:blipFill>
          <xdr:spPr bwMode="auto">
            <a:xfrm>
              <a:off x="295275" y="512121"/>
              <a:ext cx="3905250" cy="2295849"/>
            </a:xfrm>
            <a:prstGeom prst="rect">
              <a:avLst/>
            </a:prstGeom>
            <a:ln>
              <a:noFill/>
            </a:ln>
            <a:effectLst>
              <a:outerShdw blurRad="190500" algn="tl" rotWithShape="0">
                <a:srgbClr val="000000">
                  <a:alpha val="70000"/>
                </a:srgbClr>
              </a:outerShdw>
            </a:effectLst>
          </xdr:spPr>
        </xdr:pic>
        <xdr:grpSp>
          <xdr:nvGrpSpPr>
            <xdr:cNvPr id="35" name="Group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GrpSpPr/>
          </xdr:nvGrpSpPr>
          <xdr:grpSpPr>
            <a:xfrm>
              <a:off x="285750" y="2885467"/>
              <a:ext cx="4600575" cy="4136404"/>
              <a:chOff x="285750" y="2885467"/>
              <a:chExt cx="4600575" cy="4136404"/>
            </a:xfrm>
          </xdr:grpSpPr>
          <xdr:grpSp>
            <xdr:nvGrpSpPr>
              <xdr:cNvPr id="25" name="Group 24">
                <a:extLst>
                  <a:ext uri="{FF2B5EF4-FFF2-40B4-BE49-F238E27FC236}">
                    <a16:creationId xmlns:a16="http://schemas.microsoft.com/office/drawing/2014/main" id="{00000000-0008-0000-0000-000019000000}"/>
                  </a:ext>
                </a:extLst>
              </xdr:cNvPr>
              <xdr:cNvGrpSpPr/>
            </xdr:nvGrpSpPr>
            <xdr:grpSpPr>
              <a:xfrm>
                <a:off x="285750" y="2885467"/>
                <a:ext cx="4600575" cy="4136404"/>
                <a:chOff x="285750" y="2647950"/>
                <a:chExt cx="4600575" cy="4067175"/>
              </a:xfrm>
            </xdr:grpSpPr>
            <xdr:pic>
              <xdr:nvPicPr>
                <xdr:cNvPr id="1027" name="Picture 3">
                  <a:extLst>
                    <a:ext uri="{FF2B5EF4-FFF2-40B4-BE49-F238E27FC236}">
                      <a16:creationId xmlns:a16="http://schemas.microsoft.com/office/drawing/2014/main" id="{00000000-0008-0000-0000-000003040000}"/>
                    </a:ext>
                  </a:extLst>
                </xdr:cNvPr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4" cstate="print"/>
                <a:srcRect/>
                <a:stretch>
                  <a:fillRect/>
                </a:stretch>
              </xdr:blipFill>
              <xdr:spPr bwMode="auto">
                <a:xfrm>
                  <a:off x="285750" y="2647950"/>
                  <a:ext cx="4600575" cy="4067175"/>
                </a:xfrm>
                <a:prstGeom prst="rect">
                  <a:avLst/>
                </a:prstGeom>
                <a:ln>
                  <a:noFill/>
                </a:ln>
                <a:effectLst>
                  <a:outerShdw blurRad="190500" algn="tl" rotWithShape="0">
                    <a:srgbClr val="000000">
                      <a:alpha val="70000"/>
                    </a:srgbClr>
                  </a:outerShdw>
                </a:effectLst>
              </xdr:spPr>
            </xdr:pic>
            <xdr:sp macro="" textlink="">
              <xdr:nvSpPr>
                <xdr:cNvPr id="24" name="Rounded Rectangle 23">
                  <a:extLst>
                    <a:ext uri="{FF2B5EF4-FFF2-40B4-BE49-F238E27FC236}">
                      <a16:creationId xmlns:a16="http://schemas.microsoft.com/office/drawing/2014/main" id="{00000000-0008-0000-0000-000018000000}"/>
                    </a:ext>
                  </a:extLst>
                </xdr:cNvPr>
                <xdr:cNvSpPr/>
              </xdr:nvSpPr>
              <xdr:spPr>
                <a:xfrm>
                  <a:off x="647700" y="4914900"/>
                  <a:ext cx="1257300" cy="247650"/>
                </a:xfrm>
                <a:prstGeom prst="roundRect">
                  <a:avLst/>
                </a:prstGeom>
                <a:noFill/>
                <a:ln w="19050">
                  <a:solidFill>
                    <a:srgbClr val="FF0000"/>
                  </a:solidFill>
                  <a:prstDash val="dash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1100"/>
                </a:p>
              </xdr:txBody>
            </xdr:sp>
          </xdr:grpSp>
          <xdr:sp macro="" textlink="">
            <xdr:nvSpPr>
              <xdr:cNvPr id="22" name="Right Arrow 21">
                <a:extLst>
                  <a:ext uri="{FF2B5EF4-FFF2-40B4-BE49-F238E27FC236}">
                    <a16:creationId xmlns:a16="http://schemas.microsoft.com/office/drawing/2014/main" id="{00000000-0008-0000-0000-000016000000}"/>
                  </a:ext>
                </a:extLst>
              </xdr:cNvPr>
              <xdr:cNvSpPr/>
            </xdr:nvSpPr>
            <xdr:spPr>
              <a:xfrm rot="13255133">
                <a:off x="1727202" y="5283946"/>
                <a:ext cx="426197" cy="361399"/>
              </a:xfrm>
              <a:prstGeom prst="rightArrow">
                <a:avLst>
                  <a:gd name="adj1" fmla="val 50000"/>
                  <a:gd name="adj2" fmla="val 85019"/>
                </a:avLst>
              </a:prstGeom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1100"/>
              </a:p>
            </xdr:txBody>
          </xdr:sp>
        </xdr:grpSp>
        <xdr:cxnSp macro="">
          <xdr:nvCxnSpPr>
            <xdr:cNvPr id="21" name="Straight Arrow Connector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CxnSpPr/>
          </xdr:nvCxnSpPr>
          <xdr:spPr>
            <a:xfrm rot="5400000">
              <a:off x="2490819" y="2686887"/>
              <a:ext cx="1229458" cy="794"/>
            </a:xfrm>
            <a:prstGeom prst="straightConnector1">
              <a:avLst/>
            </a:prstGeom>
            <a:ln w="19050">
              <a:headEnd type="oval" w="med" len="med"/>
              <a:tailEnd type="stealth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19050</xdr:colOff>
      <xdr:row>39</xdr:row>
      <xdr:rowOff>142875</xdr:rowOff>
    </xdr:from>
    <xdr:to>
      <xdr:col>13</xdr:col>
      <xdr:colOff>400050</xdr:colOff>
      <xdr:row>129</xdr:row>
      <xdr:rowOff>123825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pSpPr/>
      </xdr:nvGrpSpPr>
      <xdr:grpSpPr>
        <a:xfrm>
          <a:off x="19050" y="6829425"/>
          <a:ext cx="9420225" cy="15411450"/>
          <a:chOff x="19050" y="7381875"/>
          <a:chExt cx="8305800" cy="17125950"/>
        </a:xfrm>
      </xdr:grpSpPr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GrpSpPr/>
        </xdr:nvGrpSpPr>
        <xdr:grpSpPr>
          <a:xfrm>
            <a:off x="219075" y="7582711"/>
            <a:ext cx="8105775" cy="16925114"/>
            <a:chOff x="5962650" y="124636"/>
            <a:chExt cx="8105775" cy="16925114"/>
          </a:xfrm>
        </xdr:grpSpPr>
        <xdr:sp macro="" textlink="">
          <xdr:nvSpPr>
            <xdr:cNvPr id="37" name="Rounded Rectangle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/>
          </xdr:nvSpPr>
          <xdr:spPr>
            <a:xfrm>
              <a:off x="6010275" y="124636"/>
              <a:ext cx="7972425" cy="319675"/>
            </a:xfrm>
            <a:prstGeom prst="roundRect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r>
                <a:rPr lang="en-US" altLang="zh-CN" sz="1100"/>
                <a:t>  S</a:t>
              </a:r>
              <a:r>
                <a:rPr lang="en-US" altLang="zh-CN" sz="1100" baseline="0"/>
                <a:t>tart your excel with Macro always on:   1.</a:t>
              </a:r>
              <a:r>
                <a:rPr lang="en-US" sz="11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Do</a:t>
              </a:r>
              <a:r>
                <a:rPr lang="en-US" sz="11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the following setting  2. Put your file into it</a:t>
              </a:r>
              <a:endParaRPr lang="en-US" sz="1100"/>
            </a:p>
          </xdr:txBody>
        </xdr:sp>
        <xdr:grpSp>
          <xdr:nvGrpSpPr>
            <xdr:cNvPr id="59" name="Group 58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GrpSpPr/>
          </xdr:nvGrpSpPr>
          <xdr:grpSpPr>
            <a:xfrm>
              <a:off x="5962650" y="542925"/>
              <a:ext cx="8105775" cy="16506825"/>
              <a:chOff x="5962650" y="542925"/>
              <a:chExt cx="8105775" cy="16506825"/>
            </a:xfrm>
          </xdr:grpSpPr>
          <xdr:grpSp>
            <xdr:nvGrpSpPr>
              <xdr:cNvPr id="58" name="Group 57">
                <a:extLst>
                  <a:ext uri="{FF2B5EF4-FFF2-40B4-BE49-F238E27FC236}">
                    <a16:creationId xmlns:a16="http://schemas.microsoft.com/office/drawing/2014/main" id="{00000000-0008-0000-0000-00003A000000}"/>
                  </a:ext>
                </a:extLst>
              </xdr:cNvPr>
              <xdr:cNvGrpSpPr/>
            </xdr:nvGrpSpPr>
            <xdr:grpSpPr>
              <a:xfrm>
                <a:off x="5991225" y="9677400"/>
                <a:ext cx="7553325" cy="4686300"/>
                <a:chOff x="5991225" y="9677400"/>
                <a:chExt cx="7553325" cy="4686300"/>
              </a:xfrm>
            </xdr:grpSpPr>
            <xdr:pic>
              <xdr:nvPicPr>
                <xdr:cNvPr id="3" name="Picture 3">
                  <a:extLst>
                    <a:ext uri="{FF2B5EF4-FFF2-40B4-BE49-F238E27FC236}">
                      <a16:creationId xmlns:a16="http://schemas.microsoft.com/office/drawing/2014/main" id="{00000000-0008-0000-0000-000003000000}"/>
                    </a:ext>
                  </a:extLst>
                </xdr:cNvPr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5" cstate="print"/>
                <a:srcRect/>
                <a:stretch>
                  <a:fillRect/>
                </a:stretch>
              </xdr:blipFill>
              <xdr:spPr bwMode="auto">
                <a:xfrm>
                  <a:off x="5991225" y="9677400"/>
                  <a:ext cx="7553325" cy="4686300"/>
                </a:xfrm>
                <a:prstGeom prst="rect">
                  <a:avLst/>
                </a:prstGeom>
                <a:ln>
                  <a:noFill/>
                </a:ln>
                <a:effectLst>
                  <a:outerShdw blurRad="190500" algn="tl" rotWithShape="0">
                    <a:srgbClr val="000000">
                      <a:alpha val="70000"/>
                    </a:srgbClr>
                  </a:outerShdw>
                </a:effectLst>
              </xdr:spPr>
            </xdr:pic>
            <xdr:sp macro="" textlink="">
              <xdr:nvSpPr>
                <xdr:cNvPr id="47" name="Right Arrow 46">
                  <a:extLst>
                    <a:ext uri="{FF2B5EF4-FFF2-40B4-BE49-F238E27FC236}">
                      <a16:creationId xmlns:a16="http://schemas.microsoft.com/office/drawing/2014/main" id="{00000000-0008-0000-0000-00002F000000}"/>
                    </a:ext>
                  </a:extLst>
                </xdr:cNvPr>
                <xdr:cNvSpPr/>
              </xdr:nvSpPr>
              <xdr:spPr>
                <a:xfrm rot="13255133">
                  <a:off x="7144240" y="10371798"/>
                  <a:ext cx="245625" cy="208281"/>
                </a:xfrm>
                <a:prstGeom prst="rightArrow">
                  <a:avLst>
                    <a:gd name="adj1" fmla="val 50000"/>
                    <a:gd name="adj2" fmla="val 85019"/>
                  </a:avLst>
                </a:prstGeom>
              </xdr:spPr>
              <xdr:style>
                <a:lnRef idx="1">
                  <a:schemeClr val="accent1"/>
                </a:lnRef>
                <a:fillRef idx="3">
                  <a:schemeClr val="accent1"/>
                </a:fillRef>
                <a:effectRef idx="2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1100"/>
                </a:p>
              </xdr:txBody>
            </xdr:sp>
          </xdr:grpSp>
          <xdr:grpSp>
            <xdr:nvGrpSpPr>
              <xdr:cNvPr id="57" name="Group 56">
                <a:extLst>
                  <a:ext uri="{FF2B5EF4-FFF2-40B4-BE49-F238E27FC236}">
                    <a16:creationId xmlns:a16="http://schemas.microsoft.com/office/drawing/2014/main" id="{00000000-0008-0000-0000-000039000000}"/>
                  </a:ext>
                </a:extLst>
              </xdr:cNvPr>
              <xdr:cNvGrpSpPr/>
            </xdr:nvGrpSpPr>
            <xdr:grpSpPr>
              <a:xfrm>
                <a:off x="5981700" y="5133975"/>
                <a:ext cx="8086725" cy="4438650"/>
                <a:chOff x="5981700" y="5133975"/>
                <a:chExt cx="8086725" cy="4438650"/>
              </a:xfrm>
            </xdr:grpSpPr>
            <xdr:pic>
              <xdr:nvPicPr>
                <xdr:cNvPr id="1025" name="Picture 1">
                  <a:extLst>
                    <a:ext uri="{FF2B5EF4-FFF2-40B4-BE49-F238E27FC236}">
                      <a16:creationId xmlns:a16="http://schemas.microsoft.com/office/drawing/2014/main" id="{00000000-0008-0000-0000-000001040000}"/>
                    </a:ext>
                  </a:extLst>
                </xdr:cNvPr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6" cstate="print"/>
                <a:srcRect/>
                <a:stretch>
                  <a:fillRect/>
                </a:stretch>
              </xdr:blipFill>
              <xdr:spPr bwMode="auto">
                <a:xfrm>
                  <a:off x="5981700" y="5133975"/>
                  <a:ext cx="8086725" cy="4438650"/>
                </a:xfrm>
                <a:prstGeom prst="rect">
                  <a:avLst/>
                </a:prstGeom>
                <a:ln>
                  <a:noFill/>
                </a:ln>
                <a:effectLst>
                  <a:outerShdw blurRad="190500" algn="tl" rotWithShape="0">
                    <a:srgbClr val="000000">
                      <a:alpha val="70000"/>
                    </a:srgbClr>
                  </a:outerShdw>
                </a:effectLst>
              </xdr:spPr>
            </xdr:pic>
            <xdr:sp macro="" textlink="">
              <xdr:nvSpPr>
                <xdr:cNvPr id="50" name="Right Arrow 49">
                  <a:extLst>
                    <a:ext uri="{FF2B5EF4-FFF2-40B4-BE49-F238E27FC236}">
                      <a16:creationId xmlns:a16="http://schemas.microsoft.com/office/drawing/2014/main" id="{00000000-0008-0000-0000-000032000000}"/>
                    </a:ext>
                  </a:extLst>
                </xdr:cNvPr>
                <xdr:cNvSpPr/>
              </xdr:nvSpPr>
              <xdr:spPr>
                <a:xfrm rot="13255133">
                  <a:off x="7144240" y="7371423"/>
                  <a:ext cx="245625" cy="208281"/>
                </a:xfrm>
                <a:prstGeom prst="rightArrow">
                  <a:avLst>
                    <a:gd name="adj1" fmla="val 50000"/>
                    <a:gd name="adj2" fmla="val 85019"/>
                  </a:avLst>
                </a:prstGeom>
              </xdr:spPr>
              <xdr:style>
                <a:lnRef idx="1">
                  <a:schemeClr val="accent1"/>
                </a:lnRef>
                <a:fillRef idx="3">
                  <a:schemeClr val="accent1"/>
                </a:fillRef>
                <a:effectRef idx="2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1100"/>
                </a:p>
              </xdr:txBody>
            </xdr:sp>
          </xdr:grpSp>
          <xdr:pic>
            <xdr:nvPicPr>
              <xdr:cNvPr id="1029" name="Picture 5">
                <a:extLs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7" cstate="print"/>
              <a:srcRect/>
              <a:stretch>
                <a:fillRect/>
              </a:stretch>
            </xdr:blipFill>
            <xdr:spPr bwMode="auto">
              <a:xfrm>
                <a:off x="5991225" y="542925"/>
                <a:ext cx="4038600" cy="4495800"/>
              </a:xfrm>
              <a:prstGeom prst="rect">
                <a:avLst/>
              </a:prstGeom>
              <a:ln>
                <a:noFill/>
              </a:ln>
              <a:effectLst>
                <a:outerShdw blurRad="190500" algn="tl" rotWithShape="0">
                  <a:srgbClr val="000000">
                    <a:alpha val="70000"/>
                  </a:srgbClr>
                </a:outerShdw>
              </a:effectLst>
            </xdr:spPr>
          </xdr:pic>
          <xdr:cxnSp macro="">
            <xdr:nvCxnSpPr>
              <xdr:cNvPr id="40" name="Straight Arrow Connector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CxnSpPr/>
            </xdr:nvCxnSpPr>
            <xdr:spPr>
              <a:xfrm rot="5400000">
                <a:off x="8577300" y="5203863"/>
                <a:ext cx="565080" cy="1588"/>
              </a:xfrm>
              <a:prstGeom prst="straightConnector1">
                <a:avLst/>
              </a:prstGeom>
              <a:ln w="19050">
                <a:headEnd type="oval" w="med" len="med"/>
                <a:tailEnd type="stealth" w="lg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5" name="Straight Arrow Connector 44">
                <a:extLst>
                  <a:ext uri="{FF2B5EF4-FFF2-40B4-BE49-F238E27FC236}">
                    <a16:creationId xmlns:a16="http://schemas.microsoft.com/office/drawing/2014/main" id="{00000000-0008-0000-0000-00002D000000}"/>
                  </a:ext>
                </a:extLst>
              </xdr:cNvPr>
              <xdr:cNvCxnSpPr/>
            </xdr:nvCxnSpPr>
            <xdr:spPr>
              <a:xfrm rot="10800000" flipV="1">
                <a:off x="9420226" y="8703541"/>
                <a:ext cx="3174209" cy="1402483"/>
              </a:xfrm>
              <a:prstGeom prst="straightConnector1">
                <a:avLst/>
              </a:prstGeom>
              <a:ln w="19050">
                <a:headEnd type="oval" w="med" len="med"/>
                <a:tailEnd type="stealth" w="lg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pic>
            <xdr:nvPicPr>
              <xdr:cNvPr id="1030" name="Picture 6">
                <a:extLs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8" cstate="print"/>
              <a:srcRect/>
              <a:stretch>
                <a:fillRect/>
              </a:stretch>
            </xdr:blipFill>
            <xdr:spPr bwMode="auto">
              <a:xfrm>
                <a:off x="5962650" y="14620875"/>
                <a:ext cx="4191000" cy="2428875"/>
              </a:xfrm>
              <a:prstGeom prst="rect">
                <a:avLst/>
              </a:prstGeom>
              <a:ln>
                <a:noFill/>
              </a:ln>
              <a:effectLst>
                <a:outerShdw blurRad="190500" algn="tl" rotWithShape="0">
                  <a:srgbClr val="000000">
                    <a:alpha val="70000"/>
                  </a:srgbClr>
                </a:outerShdw>
              </a:effectLst>
            </xdr:spPr>
          </xdr:pic>
          <xdr:cxnSp macro="">
            <xdr:nvCxnSpPr>
              <xdr:cNvPr id="48" name="Straight Arrow Connector 47">
                <a:extLst>
                  <a:ext uri="{FF2B5EF4-FFF2-40B4-BE49-F238E27FC236}">
                    <a16:creationId xmlns:a16="http://schemas.microsoft.com/office/drawing/2014/main" id="{00000000-0008-0000-0000-000030000000}"/>
                  </a:ext>
                </a:extLst>
              </xdr:cNvPr>
              <xdr:cNvCxnSpPr/>
            </xdr:nvCxnSpPr>
            <xdr:spPr>
              <a:xfrm rot="5400000">
                <a:off x="9129712" y="13435013"/>
                <a:ext cx="1495429" cy="1485901"/>
              </a:xfrm>
              <a:prstGeom prst="straightConnector1">
                <a:avLst/>
              </a:prstGeom>
              <a:ln w="19050">
                <a:headEnd type="oval" w="med" len="med"/>
                <a:tailEnd type="stealth" w="lg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6" name="Rectangle 55">
                <a:extLst>
                  <a:ext uri="{FF2B5EF4-FFF2-40B4-BE49-F238E27FC236}">
                    <a16:creationId xmlns:a16="http://schemas.microsoft.com/office/drawing/2014/main" id="{00000000-0008-0000-0000-000038000000}"/>
                  </a:ext>
                </a:extLst>
              </xdr:cNvPr>
              <xdr:cNvSpPr/>
            </xdr:nvSpPr>
            <xdr:spPr>
              <a:xfrm>
                <a:off x="9763125" y="14411325"/>
                <a:ext cx="3267075" cy="438150"/>
              </a:xfrm>
              <a:prstGeom prst="rect">
                <a:avLst/>
              </a:prstGeom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1100"/>
                  <a:t>Add your own secure folder and put your</a:t>
                </a:r>
                <a:r>
                  <a:rPr lang="en-US" sz="1100" baseline="0"/>
                  <a:t> file in it.</a:t>
                </a:r>
                <a:endParaRPr lang="en-US" sz="1100"/>
              </a:p>
            </xdr:txBody>
          </xdr:sp>
        </xdr:grpSp>
      </xdr:grpSp>
      <xdr:sp macro="" textlink="">
        <xdr:nvSpPr>
          <xdr:cNvPr id="39" name="Striped Right Arrow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9050" y="7381875"/>
            <a:ext cx="1133475" cy="561975"/>
          </a:xfrm>
          <a:prstGeom prst="stripedRightArrow">
            <a:avLst>
              <a:gd name="adj1" fmla="val 60169"/>
              <a:gd name="adj2" fmla="val 50000"/>
            </a:avLst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altLang="zh-CN" sz="1100" baseline="0"/>
              <a:t>Yu can also</a:t>
            </a:r>
            <a:endParaRPr lang="en-US" sz="1100"/>
          </a:p>
        </xdr:txBody>
      </xdr:sp>
    </xdr:grpSp>
    <xdr:clientData/>
  </xdr:twoCellAnchor>
  <xdr:twoCellAnchor>
    <xdr:from>
      <xdr:col>0</xdr:col>
      <xdr:colOff>142875</xdr:colOff>
      <xdr:row>134</xdr:row>
      <xdr:rowOff>76200</xdr:rowOff>
    </xdr:from>
    <xdr:to>
      <xdr:col>19</xdr:col>
      <xdr:colOff>371475</xdr:colOff>
      <xdr:row>134</xdr:row>
      <xdr:rowOff>76200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42875" y="25412700"/>
          <a:ext cx="11811000" cy="0"/>
        </a:xfrm>
        <a:prstGeom prst="line">
          <a:avLst/>
        </a:prstGeom>
        <a:ln>
          <a:solidFill>
            <a:schemeClr val="tx2">
              <a:lumMod val="40000"/>
              <a:lumOff val="60000"/>
            </a:schemeClr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133350</xdr:rowOff>
    </xdr:from>
    <xdr:to>
      <xdr:col>19</xdr:col>
      <xdr:colOff>542925</xdr:colOff>
      <xdr:row>45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323850"/>
          <a:ext cx="11458575" cy="8353425"/>
        </a:xfrm>
        <a:prstGeom prst="rect">
          <a:avLst/>
        </a:prstGeom>
        <a:noFill/>
        <a:ln w="3175"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10</xdr:row>
      <xdr:rowOff>333375</xdr:rowOff>
    </xdr:from>
    <xdr:to>
      <xdr:col>2</xdr:col>
      <xdr:colOff>1190625</xdr:colOff>
      <xdr:row>11</xdr:row>
      <xdr:rowOff>171450</xdr:rowOff>
    </xdr:to>
    <xdr:sp macro="[0]!ResetInst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429125" y="333375"/>
          <a:ext cx="485775" cy="419100"/>
        </a:xfrm>
        <a:prstGeom prst="roundRect">
          <a:avLst>
            <a:gd name="adj" fmla="val 0"/>
          </a:avLst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000" b="1">
              <a:solidFill>
                <a:schemeClr val="tx1"/>
              </a:solidFill>
            </a:rPr>
            <a:t>Peset</a:t>
          </a:r>
        </a:p>
        <a:p>
          <a:pPr algn="ctr"/>
          <a:r>
            <a:rPr lang="en-US" sz="1000" b="1">
              <a:solidFill>
                <a:schemeClr val="tx1"/>
              </a:solidFill>
            </a:rPr>
            <a:t>Device</a:t>
          </a:r>
        </a:p>
      </xdr:txBody>
    </xdr:sp>
    <xdr:clientData/>
  </xdr:twoCellAnchor>
  <xdr:twoCellAnchor>
    <xdr:from>
      <xdr:col>6</xdr:col>
      <xdr:colOff>66675</xdr:colOff>
      <xdr:row>10</xdr:row>
      <xdr:rowOff>76200</xdr:rowOff>
    </xdr:from>
    <xdr:to>
      <xdr:col>7</xdr:col>
      <xdr:colOff>238126</xdr:colOff>
      <xdr:row>10</xdr:row>
      <xdr:rowOff>495300</xdr:rowOff>
    </xdr:to>
    <xdr:sp macro="[0]!CpFromK" textlink="">
      <xdr:nvSpPr>
        <xdr:cNvPr id="10" name="Left-Right Arrow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6772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K</a:t>
          </a:r>
        </a:p>
      </xdr:txBody>
    </xdr:sp>
    <xdr:clientData/>
  </xdr:twoCellAnchor>
  <xdr:twoCellAnchor editAs="oneCell">
    <xdr:from>
      <xdr:col>1</xdr:col>
      <xdr:colOff>9525</xdr:colOff>
      <xdr:row>13</xdr:row>
      <xdr:rowOff>11907</xdr:rowOff>
    </xdr:from>
    <xdr:to>
      <xdr:col>1</xdr:col>
      <xdr:colOff>413516</xdr:colOff>
      <xdr:row>13</xdr:row>
      <xdr:rowOff>184547</xdr:rowOff>
    </xdr:to>
    <xdr:sp macro="[0]!SelectTopRow" textlink="">
      <xdr:nvSpPr>
        <xdr:cNvPr id="24" name="Up Arrow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402431" y="976313"/>
          <a:ext cx="403991" cy="172640"/>
        </a:xfrm>
        <a:prstGeom prst="upArrow">
          <a:avLst>
            <a:gd name="adj1" fmla="val 52761"/>
            <a:gd name="adj2" fmla="val 83362"/>
          </a:avLst>
        </a:prstGeom>
        <a:solidFill>
          <a:sysClr val="window" lastClr="FFFFFF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lIns="0" tIns="0" rIns="0" bIns="0" rtlCol="0" anchor="b"/>
        <a:lstStyle/>
        <a:p>
          <a:pPr algn="ctr"/>
          <a:r>
            <a:rPr lang="en-US" sz="800" b="1"/>
            <a:t>TOP</a:t>
          </a:r>
        </a:p>
      </xdr:txBody>
    </xdr:sp>
    <xdr:clientData/>
  </xdr:twoCellAnchor>
  <xdr:twoCellAnchor>
    <xdr:from>
      <xdr:col>9</xdr:col>
      <xdr:colOff>66675</xdr:colOff>
      <xdr:row>10</xdr:row>
      <xdr:rowOff>76200</xdr:rowOff>
    </xdr:from>
    <xdr:to>
      <xdr:col>10</xdr:col>
      <xdr:colOff>238126</xdr:colOff>
      <xdr:row>10</xdr:row>
      <xdr:rowOff>495300</xdr:rowOff>
    </xdr:to>
    <xdr:sp macro="[0]!CpFromE" textlink="">
      <xdr:nvSpPr>
        <xdr:cNvPr id="31" name="Left-Right Arrow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20681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E</a:t>
          </a:r>
        </a:p>
      </xdr:txBody>
    </xdr:sp>
    <xdr:clientData/>
  </xdr:twoCellAnchor>
  <xdr:twoCellAnchor>
    <xdr:from>
      <xdr:col>12</xdr:col>
      <xdr:colOff>66675</xdr:colOff>
      <xdr:row>10</xdr:row>
      <xdr:rowOff>76200</xdr:rowOff>
    </xdr:from>
    <xdr:to>
      <xdr:col>13</xdr:col>
      <xdr:colOff>238126</xdr:colOff>
      <xdr:row>10</xdr:row>
      <xdr:rowOff>495300</xdr:rowOff>
    </xdr:to>
    <xdr:sp macro="[0]!CpFromY" textlink="">
      <xdr:nvSpPr>
        <xdr:cNvPr id="32" name="Left-Right Arr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54590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Y</a:t>
          </a:r>
        </a:p>
      </xdr:txBody>
    </xdr:sp>
    <xdr:clientData/>
  </xdr:twoCellAnchor>
  <xdr:twoCellAnchor>
    <xdr:from>
      <xdr:col>15</xdr:col>
      <xdr:colOff>66675</xdr:colOff>
      <xdr:row>10</xdr:row>
      <xdr:rowOff>76200</xdr:rowOff>
    </xdr:from>
    <xdr:to>
      <xdr:col>16</xdr:col>
      <xdr:colOff>238126</xdr:colOff>
      <xdr:row>10</xdr:row>
      <xdr:rowOff>495300</xdr:rowOff>
    </xdr:to>
    <xdr:sp macro="[0]!CpFromS" textlink="">
      <xdr:nvSpPr>
        <xdr:cNvPr id="33" name="Left-Right Arrow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88499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S</a:t>
          </a:r>
        </a:p>
      </xdr:txBody>
    </xdr:sp>
    <xdr:clientData/>
  </xdr:twoCellAnchor>
  <xdr:twoCellAnchor>
    <xdr:from>
      <xdr:col>18</xdr:col>
      <xdr:colOff>66675</xdr:colOff>
      <xdr:row>10</xdr:row>
      <xdr:rowOff>76200</xdr:rowOff>
    </xdr:from>
    <xdr:to>
      <xdr:col>19</xdr:col>
      <xdr:colOff>238126</xdr:colOff>
      <xdr:row>10</xdr:row>
      <xdr:rowOff>495300</xdr:rowOff>
    </xdr:to>
    <xdr:sp macro="[0]!CpFromI" textlink="">
      <xdr:nvSpPr>
        <xdr:cNvPr id="34" name="Left-Right Arrow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222408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I</a:t>
          </a:r>
        </a:p>
      </xdr:txBody>
    </xdr:sp>
    <xdr:clientData/>
  </xdr:twoCellAnchor>
  <xdr:twoCellAnchor>
    <xdr:from>
      <xdr:col>21</xdr:col>
      <xdr:colOff>66675</xdr:colOff>
      <xdr:row>10</xdr:row>
      <xdr:rowOff>76200</xdr:rowOff>
    </xdr:from>
    <xdr:to>
      <xdr:col>22</xdr:col>
      <xdr:colOff>238126</xdr:colOff>
      <xdr:row>10</xdr:row>
      <xdr:rowOff>495300</xdr:rowOff>
    </xdr:to>
    <xdr:sp macro="[0]!CpFromG" textlink="">
      <xdr:nvSpPr>
        <xdr:cNvPr id="35" name="Left-Right Arr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256317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G</a:t>
          </a:r>
        </a:p>
      </xdr:txBody>
    </xdr:sp>
    <xdr:clientData/>
  </xdr:twoCellAnchor>
  <xdr:twoCellAnchor>
    <xdr:from>
      <xdr:col>24</xdr:col>
      <xdr:colOff>66675</xdr:colOff>
      <xdr:row>10</xdr:row>
      <xdr:rowOff>76200</xdr:rowOff>
    </xdr:from>
    <xdr:to>
      <xdr:col>25</xdr:col>
      <xdr:colOff>238126</xdr:colOff>
      <xdr:row>10</xdr:row>
      <xdr:rowOff>495300</xdr:rowOff>
    </xdr:to>
    <xdr:sp macro="[0]!CpFromH" textlink="">
      <xdr:nvSpPr>
        <xdr:cNvPr id="36" name="Left-Right Arrow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290226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H</a:t>
          </a:r>
        </a:p>
      </xdr:txBody>
    </xdr:sp>
    <xdr:clientData/>
  </xdr:twoCellAnchor>
  <xdr:twoCellAnchor editAs="oneCell">
    <xdr:from>
      <xdr:col>1</xdr:col>
      <xdr:colOff>685801</xdr:colOff>
      <xdr:row>10</xdr:row>
      <xdr:rowOff>220055</xdr:rowOff>
    </xdr:from>
    <xdr:to>
      <xdr:col>1</xdr:col>
      <xdr:colOff>1419225</xdr:colOff>
      <xdr:row>12</xdr:row>
      <xdr:rowOff>95250</xdr:rowOff>
    </xdr:to>
    <xdr:sp macro="[0]!ExecuteCmdFromSelCell" textlink="">
      <xdr:nvSpPr>
        <xdr:cNvPr id="26" name="Striped Right Arrow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076326" y="220055"/>
          <a:ext cx="733424" cy="646720"/>
        </a:xfrm>
        <a:prstGeom prst="stripedRightArrow">
          <a:avLst>
            <a:gd name="adj1" fmla="val 55892"/>
            <a:gd name="adj2" fmla="val 70325"/>
          </a:avLst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Start From</a:t>
          </a:r>
        </a:p>
      </xdr:txBody>
    </xdr:sp>
    <xdr:clientData/>
  </xdr:twoCellAnchor>
  <xdr:twoCellAnchor editAs="oneCell">
    <xdr:from>
      <xdr:col>1</xdr:col>
      <xdr:colOff>2333624</xdr:colOff>
      <xdr:row>10</xdr:row>
      <xdr:rowOff>222250</xdr:rowOff>
    </xdr:from>
    <xdr:to>
      <xdr:col>1</xdr:col>
      <xdr:colOff>3086393</xdr:colOff>
      <xdr:row>12</xdr:row>
      <xdr:rowOff>85725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pSpPr/>
      </xdr:nvGrpSpPr>
      <xdr:grpSpPr>
        <a:xfrm>
          <a:off x="2780885" y="222250"/>
          <a:ext cx="752769" cy="633758"/>
          <a:chOff x="2705100" y="4156075"/>
          <a:chExt cx="800394" cy="635000"/>
        </a:xfrm>
      </xdr:grpSpPr>
      <xdr:sp macro="" textlink="">
        <xdr:nvSpPr>
          <xdr:cNvPr id="66" name="Arc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SpPr/>
        </xdr:nvSpPr>
        <xdr:spPr>
          <a:xfrm>
            <a:off x="3342715" y="4219575"/>
            <a:ext cx="162779" cy="476250"/>
          </a:xfrm>
          <a:prstGeom prst="arc">
            <a:avLst>
              <a:gd name="adj1" fmla="val 3980653"/>
              <a:gd name="adj2" fmla="val 3094119"/>
            </a:avLst>
          </a:prstGeom>
          <a:noFill/>
          <a:ln w="28575">
            <a:headEnd type="oval" w="med" len="med"/>
            <a:tailEnd type="triangle" w="med" len="lg"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RepeatStep" textlink="">
        <xdr:nvSpPr>
          <xdr:cNvPr id="64" name="Right Arrow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/>
        </xdr:nvSpPr>
        <xdr:spPr>
          <a:xfrm>
            <a:off x="2705100" y="4156075"/>
            <a:ext cx="771526" cy="635000"/>
          </a:xfrm>
          <a:prstGeom prst="rightArrow">
            <a:avLst>
              <a:gd name="adj1" fmla="val 58000"/>
              <a:gd name="adj2" fmla="val 72353"/>
            </a:avLst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lIns="45720" tIns="0" rIns="0" bIns="0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Repeat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STEP</a:t>
            </a:r>
          </a:p>
        </xdr:txBody>
      </xdr:sp>
    </xdr:grpSp>
    <xdr:clientData/>
  </xdr:twoCellAnchor>
  <xdr:twoCellAnchor editAs="oneCell">
    <xdr:from>
      <xdr:col>1</xdr:col>
      <xdr:colOff>3190875</xdr:colOff>
      <xdr:row>10</xdr:row>
      <xdr:rowOff>222250</xdr:rowOff>
    </xdr:from>
    <xdr:to>
      <xdr:col>1</xdr:col>
      <xdr:colOff>3952874</xdr:colOff>
      <xdr:row>12</xdr:row>
      <xdr:rowOff>85725</xdr:rowOff>
    </xdr:to>
    <xdr:grpSp>
      <xdr:nvGrpSpPr>
        <xdr:cNvPr id="73" name="Group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GrpSpPr/>
      </xdr:nvGrpSpPr>
      <xdr:grpSpPr>
        <a:xfrm>
          <a:off x="3638136" y="222250"/>
          <a:ext cx="761999" cy="633758"/>
          <a:chOff x="2352675" y="250825"/>
          <a:chExt cx="800099" cy="635000"/>
        </a:xfrm>
      </xdr:grpSpPr>
      <xdr:sp macro="[0]!NextStep" textlink="">
        <xdr:nvSpPr>
          <xdr:cNvPr id="65" name="Right Arrow 64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SpPr/>
        </xdr:nvSpPr>
        <xdr:spPr>
          <a:xfrm>
            <a:off x="2352675" y="250825"/>
            <a:ext cx="771526" cy="635000"/>
          </a:xfrm>
          <a:prstGeom prst="rightArrow">
            <a:avLst>
              <a:gd name="adj1" fmla="val 58000"/>
              <a:gd name="adj2" fmla="val 72353"/>
            </a:avLst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lIns="45720" tIns="0" rIns="0" bIns="0" rtlCol="0" anchor="ctr"/>
          <a:lstStyle/>
          <a:p>
            <a:pPr algn="ctr"/>
            <a:r>
              <a:rPr lang="en-US" altLang="zh-CN" sz="1100" b="1">
                <a:solidFill>
                  <a:schemeClr val="tx1"/>
                </a:solidFill>
              </a:rPr>
              <a:t>Next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STEP</a:t>
            </a:r>
          </a:p>
        </xdr:txBody>
      </xdr:sp>
      <xdr:sp macro="[0]!NextStep" textlink="">
        <xdr:nvSpPr>
          <xdr:cNvPr id="69" name="Arc 68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SpPr/>
        </xdr:nvSpPr>
        <xdr:spPr>
          <a:xfrm>
            <a:off x="2872935" y="330514"/>
            <a:ext cx="279839" cy="476250"/>
          </a:xfrm>
          <a:prstGeom prst="arc">
            <a:avLst>
              <a:gd name="adj1" fmla="val 16749649"/>
              <a:gd name="adj2" fmla="val 5194299"/>
            </a:avLst>
          </a:prstGeom>
          <a:noFill/>
          <a:ln w="28575">
            <a:headEnd type="oval" w="med" len="med"/>
            <a:tailEnd type="triangle" w="med" len="lg"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oneCell">
    <xdr:from>
      <xdr:col>1</xdr:col>
      <xdr:colOff>1523999</xdr:colOff>
      <xdr:row>10</xdr:row>
      <xdr:rowOff>314325</xdr:rowOff>
    </xdr:from>
    <xdr:to>
      <xdr:col>1</xdr:col>
      <xdr:colOff>2019300</xdr:colOff>
      <xdr:row>12</xdr:row>
      <xdr:rowOff>9525</xdr:rowOff>
    </xdr:to>
    <xdr:sp macro="[0]!CancelSequence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914524" y="314325"/>
          <a:ext cx="495301" cy="4667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STOP</a:t>
          </a:r>
        </a:p>
      </xdr:txBody>
    </xdr:sp>
    <xdr:clientData/>
  </xdr:twoCellAnchor>
  <xdr:twoCellAnchor editAs="absolute">
    <xdr:from>
      <xdr:col>0</xdr:col>
      <xdr:colOff>19050</xdr:colOff>
      <xdr:row>10</xdr:row>
      <xdr:rowOff>47625</xdr:rowOff>
    </xdr:from>
    <xdr:to>
      <xdr:col>0</xdr:col>
      <xdr:colOff>380999</xdr:colOff>
      <xdr:row>10</xdr:row>
      <xdr:rowOff>203597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19050" y="47625"/>
          <a:ext cx="361949" cy="155972"/>
          <a:chOff x="5038726" y="2381251"/>
          <a:chExt cx="1171574" cy="279797"/>
        </a:xfrm>
      </xdr:grpSpPr>
      <xdr:sp macro="[0]!ShowConfigArea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5038726" y="2386014"/>
            <a:ext cx="1171574" cy="275034"/>
          </a:xfrm>
          <a:prstGeom prst="rect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ShowConfigArea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SpPr/>
        </xdr:nvSpPr>
        <xdr:spPr>
          <a:xfrm>
            <a:off x="5038726" y="2381251"/>
            <a:ext cx="1171574" cy="95249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 editAs="oneCell">
    <xdr:from>
      <xdr:col>0</xdr:col>
      <xdr:colOff>371475</xdr:colOff>
      <xdr:row>10</xdr:row>
      <xdr:rowOff>241300</xdr:rowOff>
    </xdr:from>
    <xdr:to>
      <xdr:col>1</xdr:col>
      <xdr:colOff>581025</xdr:colOff>
      <xdr:row>12</xdr:row>
      <xdr:rowOff>104775</xdr:rowOff>
    </xdr:to>
    <xdr:sp macro="[0]!ExecuteCmdFromBegining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1475" y="241300"/>
          <a:ext cx="600075" cy="635000"/>
        </a:xfrm>
        <a:prstGeom prst="rightArrow">
          <a:avLst>
            <a:gd name="adj1" fmla="val 50000"/>
            <a:gd name="adj2" fmla="val 78043"/>
          </a:avLst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18288" tIns="0" rIns="0" bIns="0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GO</a:t>
          </a:r>
        </a:p>
      </xdr:txBody>
    </xdr:sp>
    <xdr:clientData/>
  </xdr:twoCellAnchor>
  <xdr:twoCellAnchor>
    <xdr:from>
      <xdr:col>3</xdr:col>
      <xdr:colOff>1958579</xdr:colOff>
      <xdr:row>13</xdr:row>
      <xdr:rowOff>14288</xdr:rowOff>
    </xdr:from>
    <xdr:to>
      <xdr:col>4</xdr:col>
      <xdr:colOff>119064</xdr:colOff>
      <xdr:row>13</xdr:row>
      <xdr:rowOff>195263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10970057" y="975071"/>
          <a:ext cx="1183637" cy="180975"/>
          <a:chOff x="6732983" y="2062162"/>
          <a:chExt cx="797719" cy="180975"/>
        </a:xfrm>
      </xdr:grpSpPr>
      <xdr:sp macro="[0]!SaveRtnInfo" textlink="">
        <xdr:nvSpPr>
          <xdr:cNvPr id="38" name="Rectangle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/>
        </xdr:nvSpPr>
        <xdr:spPr>
          <a:xfrm>
            <a:off x="6732983" y="2062162"/>
            <a:ext cx="797719" cy="180975"/>
          </a:xfrm>
          <a:prstGeom prst="rect">
            <a:avLst/>
          </a:prstGeom>
          <a:solidFill>
            <a:sysClr val="window" lastClr="FFFFFF"/>
          </a:soli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1100"/>
              <a:t>       Save Info</a:t>
            </a:r>
          </a:p>
        </xdr:txBody>
      </xdr:sp>
      <xdr:pic macro="[0]!SaveRtnInfo">
        <xdr:nvPicPr>
          <xdr:cNvPr id="1032" name="Picture 8">
            <a:extLst>
              <a:ext uri="{FF2B5EF4-FFF2-40B4-BE49-F238E27FC236}">
                <a16:creationId xmlns:a16="http://schemas.microsoft.com/office/drawing/2014/main" id="{00000000-0008-0000-0200-000008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6768702" y="2085976"/>
            <a:ext cx="133350" cy="13335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3</xdr:col>
      <xdr:colOff>904875</xdr:colOff>
      <xdr:row>13</xdr:row>
      <xdr:rowOff>19049</xdr:rowOff>
    </xdr:from>
    <xdr:to>
      <xdr:col>3</xdr:col>
      <xdr:colOff>1637109</xdr:colOff>
      <xdr:row>13</xdr:row>
      <xdr:rowOff>200024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9916353" y="979832"/>
          <a:ext cx="732234" cy="180975"/>
          <a:chOff x="5857875" y="973930"/>
          <a:chExt cx="732234" cy="180975"/>
        </a:xfrm>
      </xdr:grpSpPr>
      <xdr:sp macro="[0]!ClearRtnInfo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5857875" y="973930"/>
            <a:ext cx="732234" cy="180975"/>
          </a:xfrm>
          <a:prstGeom prst="rect">
            <a:avLst/>
          </a:prstGeom>
          <a:solidFill>
            <a:sysClr val="window" lastClr="FFFFFF"/>
          </a:soli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1100"/>
              <a:t>        Clr Info</a:t>
            </a:r>
          </a:p>
        </xdr:txBody>
      </xdr:sp>
      <xdr:pic macro="[0]!ClearRtnInfo">
        <xdr:nvPicPr>
          <xdr:cNvPr id="1034" name="Picture 10">
            <a:extLst>
              <a:ext uri="{FF2B5EF4-FFF2-40B4-BE49-F238E27FC236}">
                <a16:creationId xmlns:a16="http://schemas.microsoft.com/office/drawing/2014/main" id="{00000000-0008-0000-0200-00000A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/>
          <a:stretch>
            <a:fillRect/>
          </a:stretch>
        </xdr:blipFill>
        <xdr:spPr bwMode="auto">
          <a:xfrm>
            <a:off x="5881687" y="988218"/>
            <a:ext cx="152400" cy="142875"/>
          </a:xfrm>
          <a:prstGeom prst="rect">
            <a:avLst/>
          </a:prstGeom>
          <a:noFill/>
        </xdr:spPr>
      </xdr:pic>
    </xdr:grpSp>
    <xdr:clientData/>
  </xdr:twoCellAnchor>
  <xdr:twoCellAnchor>
    <xdr:from>
      <xdr:col>4</xdr:col>
      <xdr:colOff>657225</xdr:colOff>
      <xdr:row>0</xdr:row>
      <xdr:rowOff>57150</xdr:rowOff>
    </xdr:from>
    <xdr:to>
      <xdr:col>4</xdr:col>
      <xdr:colOff>857250</xdr:colOff>
      <xdr:row>0</xdr:row>
      <xdr:rowOff>257175</xdr:rowOff>
    </xdr:to>
    <xdr:sp macro="[0]!ShowVersionInfo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8248650" y="57150"/>
          <a:ext cx="200025" cy="200025"/>
        </a:xfrm>
        <a:prstGeom prst="ellipse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000" b="1">
              <a:latin typeface="Comic Sans MS" pitchFamily="66" charset="0"/>
            </a:rPr>
            <a:t>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3133725</xdr:colOff>
          <xdr:row>11</xdr:row>
          <xdr:rowOff>171450</xdr:rowOff>
        </xdr:from>
        <xdr:to>
          <xdr:col>1</xdr:col>
          <xdr:colOff>3438525</xdr:colOff>
          <xdr:row>12</xdr:row>
          <xdr:rowOff>133350</xdr:rowOff>
        </xdr:to>
        <xdr:sp macro="" textlink="">
          <xdr:nvSpPr>
            <xdr:cNvPr id="1030" name="lblRepeatStep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11</xdr:row>
          <xdr:rowOff>171450</xdr:rowOff>
        </xdr:from>
        <xdr:to>
          <xdr:col>1</xdr:col>
          <xdr:colOff>85725</xdr:colOff>
          <xdr:row>12</xdr:row>
          <xdr:rowOff>133350</xdr:rowOff>
        </xdr:to>
        <xdr:sp macro="" textlink="">
          <xdr:nvSpPr>
            <xdr:cNvPr id="1027" name="lblG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11</xdr:row>
          <xdr:rowOff>171450</xdr:rowOff>
        </xdr:from>
        <xdr:to>
          <xdr:col>1</xdr:col>
          <xdr:colOff>942975</xdr:colOff>
          <xdr:row>12</xdr:row>
          <xdr:rowOff>133350</xdr:rowOff>
        </xdr:to>
        <xdr:sp macro="" textlink="">
          <xdr:nvSpPr>
            <xdr:cNvPr id="1028" name="lblStartFro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11</xdr:row>
          <xdr:rowOff>171450</xdr:rowOff>
        </xdr:from>
        <xdr:to>
          <xdr:col>1</xdr:col>
          <xdr:colOff>2562225</xdr:colOff>
          <xdr:row>12</xdr:row>
          <xdr:rowOff>133350</xdr:rowOff>
        </xdr:to>
        <xdr:sp macro="" textlink="">
          <xdr:nvSpPr>
            <xdr:cNvPr id="1029" name="lblNextSte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1628775</xdr:colOff>
      <xdr:row>10</xdr:row>
      <xdr:rowOff>47625</xdr:rowOff>
    </xdr:from>
    <xdr:to>
      <xdr:col>4</xdr:col>
      <xdr:colOff>438149</xdr:colOff>
      <xdr:row>11</xdr:row>
      <xdr:rowOff>28575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81775" y="47625"/>
          <a:ext cx="1447800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1190625</xdr:colOff>
      <xdr:row>11</xdr:row>
      <xdr:rowOff>57150</xdr:rowOff>
    </xdr:from>
    <xdr:to>
      <xdr:col>3</xdr:col>
      <xdr:colOff>1447800</xdr:colOff>
      <xdr:row>12</xdr:row>
      <xdr:rowOff>123825</xdr:rowOff>
    </xdr:to>
    <xdr:sp macro="[0]!SelectK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143625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K</a:t>
          </a:r>
        </a:p>
      </xdr:txBody>
    </xdr:sp>
    <xdr:clientData/>
  </xdr:twoCellAnchor>
  <xdr:twoCellAnchor>
    <xdr:from>
      <xdr:col>3</xdr:col>
      <xdr:colOff>1485900</xdr:colOff>
      <xdr:row>11</xdr:row>
      <xdr:rowOff>57150</xdr:rowOff>
    </xdr:from>
    <xdr:to>
      <xdr:col>3</xdr:col>
      <xdr:colOff>1743075</xdr:colOff>
      <xdr:row>12</xdr:row>
      <xdr:rowOff>123825</xdr:rowOff>
    </xdr:to>
    <xdr:sp macro="[0]!SelectE" textlink="">
      <xdr:nvSpPr>
        <xdr:cNvPr id="45" name="Rounded Rectangl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6438900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E</a:t>
          </a:r>
        </a:p>
      </xdr:txBody>
    </xdr:sp>
    <xdr:clientData/>
  </xdr:twoCellAnchor>
  <xdr:twoCellAnchor>
    <xdr:from>
      <xdr:col>3</xdr:col>
      <xdr:colOff>1781175</xdr:colOff>
      <xdr:row>11</xdr:row>
      <xdr:rowOff>57150</xdr:rowOff>
    </xdr:from>
    <xdr:to>
      <xdr:col>3</xdr:col>
      <xdr:colOff>2038350</xdr:colOff>
      <xdr:row>12</xdr:row>
      <xdr:rowOff>123825</xdr:rowOff>
    </xdr:to>
    <xdr:sp macro="[0]!SelectY" textlink="">
      <xdr:nvSpPr>
        <xdr:cNvPr id="48" name="Rounded 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6734175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Y</a:t>
          </a:r>
        </a:p>
      </xdr:txBody>
    </xdr:sp>
    <xdr:clientData/>
  </xdr:twoCellAnchor>
  <xdr:twoCellAnchor>
    <xdr:from>
      <xdr:col>3</xdr:col>
      <xdr:colOff>2076450</xdr:colOff>
      <xdr:row>11</xdr:row>
      <xdr:rowOff>57150</xdr:rowOff>
    </xdr:from>
    <xdr:to>
      <xdr:col>3</xdr:col>
      <xdr:colOff>2333625</xdr:colOff>
      <xdr:row>12</xdr:row>
      <xdr:rowOff>123825</xdr:rowOff>
    </xdr:to>
    <xdr:sp macro="[0]!SelectS" textlink="">
      <xdr:nvSpPr>
        <xdr:cNvPr id="49" name="Rounded Rectangl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7029450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S</a:t>
          </a:r>
        </a:p>
      </xdr:txBody>
    </xdr:sp>
    <xdr:clientData/>
  </xdr:twoCellAnchor>
  <xdr:twoCellAnchor>
    <xdr:from>
      <xdr:col>3</xdr:col>
      <xdr:colOff>2371725</xdr:colOff>
      <xdr:row>11</xdr:row>
      <xdr:rowOff>57150</xdr:rowOff>
    </xdr:from>
    <xdr:to>
      <xdr:col>3</xdr:col>
      <xdr:colOff>2628900</xdr:colOff>
      <xdr:row>12</xdr:row>
      <xdr:rowOff>123825</xdr:rowOff>
    </xdr:to>
    <xdr:sp macro="[0]!SelectI" textlink="">
      <xdr:nvSpPr>
        <xdr:cNvPr id="50" name="Rounded 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7324725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</a:t>
          </a:r>
        </a:p>
      </xdr:txBody>
    </xdr:sp>
    <xdr:clientData/>
  </xdr:twoCellAnchor>
  <xdr:twoCellAnchor>
    <xdr:from>
      <xdr:col>4</xdr:col>
      <xdr:colOff>28575</xdr:colOff>
      <xdr:row>11</xdr:row>
      <xdr:rowOff>57150</xdr:rowOff>
    </xdr:from>
    <xdr:to>
      <xdr:col>4</xdr:col>
      <xdr:colOff>285750</xdr:colOff>
      <xdr:row>12</xdr:row>
      <xdr:rowOff>123825</xdr:rowOff>
    </xdr:to>
    <xdr:sp macro="[0]!SelectG" textlink="">
      <xdr:nvSpPr>
        <xdr:cNvPr id="51" name="Rounded Rectangl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7620000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G</a:t>
          </a:r>
        </a:p>
      </xdr:txBody>
    </xdr:sp>
    <xdr:clientData/>
  </xdr:twoCellAnchor>
  <xdr:twoCellAnchor>
    <xdr:from>
      <xdr:col>4</xdr:col>
      <xdr:colOff>323850</xdr:colOff>
      <xdr:row>11</xdr:row>
      <xdr:rowOff>57150</xdr:rowOff>
    </xdr:from>
    <xdr:to>
      <xdr:col>4</xdr:col>
      <xdr:colOff>581025</xdr:colOff>
      <xdr:row>12</xdr:row>
      <xdr:rowOff>123825</xdr:rowOff>
    </xdr:to>
    <xdr:sp macro="[0]!SelectH" textlink="">
      <xdr:nvSpPr>
        <xdr:cNvPr id="52" name="Rounded Rectangl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7915275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H</a:t>
          </a:r>
        </a:p>
      </xdr:txBody>
    </xdr:sp>
    <xdr:clientData/>
  </xdr:twoCellAnchor>
  <xdr:twoCellAnchor>
    <xdr:from>
      <xdr:col>4</xdr:col>
      <xdr:colOff>619125</xdr:colOff>
      <xdr:row>11</xdr:row>
      <xdr:rowOff>57150</xdr:rowOff>
    </xdr:from>
    <xdr:to>
      <xdr:col>4</xdr:col>
      <xdr:colOff>876300</xdr:colOff>
      <xdr:row>12</xdr:row>
      <xdr:rowOff>123825</xdr:rowOff>
    </xdr:to>
    <xdr:sp macro="[0]!SelectT" textlink="">
      <xdr:nvSpPr>
        <xdr:cNvPr id="53" name="Rounded 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8210550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T</a:t>
          </a:r>
        </a:p>
      </xdr:txBody>
    </xdr:sp>
    <xdr:clientData/>
  </xdr:twoCellAnchor>
  <xdr:twoCellAnchor>
    <xdr:from>
      <xdr:col>27</xdr:col>
      <xdr:colOff>66675</xdr:colOff>
      <xdr:row>10</xdr:row>
      <xdr:rowOff>76200</xdr:rowOff>
    </xdr:from>
    <xdr:to>
      <xdr:col>28</xdr:col>
      <xdr:colOff>238126</xdr:colOff>
      <xdr:row>10</xdr:row>
      <xdr:rowOff>495300</xdr:rowOff>
    </xdr:to>
    <xdr:sp macro="[0]!CpFromT" textlink="">
      <xdr:nvSpPr>
        <xdr:cNvPr id="54" name="Left-Right Arrow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290226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rtlCol="0" anchor="ctr"/>
      <a:lstStyle>
        <a:defPPr algn="ctr">
          <a:defRPr sz="1100"/>
        </a:defPPr>
      </a:lstStyle>
      <a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AK">
    <tabColor rgb="FFFF0000"/>
  </sheetPr>
  <dimension ref="A1"/>
  <sheetViews>
    <sheetView showGridLines="0" tabSelected="1" topLeftCell="A91" workbookViewId="0"/>
  </sheetViews>
  <sheetFormatPr defaultColWidth="9.125" defaultRowHeight="13.5" x14ac:dyDescent="0.15"/>
  <cols>
    <col min="1" max="16384" width="9.125" style="2"/>
  </cols>
  <sheetData>
    <row r="1" spans="1:1" x14ac:dyDescent="0.15">
      <c r="A1" s="2" t="str">
        <f>GPIB_Command_Tester!B11</f>
        <v xml:space="preserve">GPIB CMD Tester ( A.01.00) </v>
      </c>
    </row>
  </sheetData>
  <phoneticPr fontId="2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workbookViewId="0"/>
  </sheetViews>
  <sheetFormatPr defaultRowHeight="13.5" x14ac:dyDescent="0.15"/>
  <cols>
    <col min="1" max="1" width="9" customWidth="1"/>
  </cols>
  <sheetData>
    <row r="1" spans="1:1" x14ac:dyDescent="0.15">
      <c r="A1" s="68" t="s">
        <v>12</v>
      </c>
    </row>
  </sheetData>
  <phoneticPr fontId="22" type="noConversion"/>
  <hyperlinks>
    <hyperlink ref="A1" location="GPIB_Command_Tester!A1" display="&lt; Back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">
    <tabColor theme="9" tint="-0.249977111117893"/>
  </sheetPr>
  <dimension ref="A1:AD170"/>
  <sheetViews>
    <sheetView showGridLines="0" zoomScale="115" zoomScaleNormal="115" workbookViewId="0">
      <pane xSplit="5" ySplit="14" topLeftCell="F15" activePane="bottomRight" state="frozen"/>
      <selection pane="topRight" activeCell="E1" sqref="E1"/>
      <selection pane="bottomLeft" activeCell="A5" sqref="A5"/>
      <selection pane="bottomRight" activeCell="B39" sqref="B39"/>
    </sheetView>
  </sheetViews>
  <sheetFormatPr defaultColWidth="9.125" defaultRowHeight="13.5" x14ac:dyDescent="0.15"/>
  <cols>
    <col min="1" max="1" width="5.875" style="7" bestFit="1" customWidth="1"/>
    <col min="2" max="2" width="83" style="2" bestFit="1" customWidth="1"/>
    <col min="3" max="3" width="29.375" style="19" bestFit="1" customWidth="1"/>
    <col min="4" max="4" width="39.625" style="55" customWidth="1"/>
    <col min="5" max="5" width="14.25" style="54" customWidth="1"/>
    <col min="6" max="6" width="1" style="3" customWidth="1"/>
    <col min="7" max="7" width="5.875" style="9" bestFit="1" customWidth="1"/>
    <col min="8" max="8" width="30.375" style="4" customWidth="1"/>
    <col min="9" max="9" width="14.625" style="12" customWidth="1"/>
    <col min="10" max="10" width="5.875" style="9" bestFit="1" customWidth="1"/>
    <col min="11" max="11" width="30.375" style="4" customWidth="1"/>
    <col min="12" max="12" width="14.625" style="12" customWidth="1"/>
    <col min="13" max="13" width="5.875" style="9" bestFit="1" customWidth="1"/>
    <col min="14" max="14" width="30.375" style="4" customWidth="1"/>
    <col min="15" max="15" width="14.625" style="12" customWidth="1"/>
    <col min="16" max="16" width="5.875" style="9" bestFit="1" customWidth="1"/>
    <col min="17" max="17" width="30.375" style="4" customWidth="1"/>
    <col min="18" max="18" width="14.625" style="12" customWidth="1"/>
    <col min="19" max="19" width="5.875" style="9" bestFit="1" customWidth="1"/>
    <col min="20" max="20" width="30.375" style="4" customWidth="1"/>
    <col min="21" max="21" width="14.625" style="12" customWidth="1"/>
    <col min="22" max="22" width="5.875" style="9" bestFit="1" customWidth="1"/>
    <col min="23" max="23" width="30.375" style="4" customWidth="1"/>
    <col min="24" max="24" width="14.625" style="12" customWidth="1"/>
    <col min="25" max="25" width="5.875" style="9" bestFit="1" customWidth="1"/>
    <col min="26" max="26" width="30.375" style="4" customWidth="1"/>
    <col min="27" max="27" width="14.625" style="12" customWidth="1"/>
    <col min="28" max="28" width="5.875" style="9" bestFit="1" customWidth="1"/>
    <col min="29" max="29" width="30.375" style="4" customWidth="1"/>
    <col min="30" max="30" width="14.625" style="12" customWidth="1"/>
    <col min="31" max="16384" width="9.125" style="1"/>
  </cols>
  <sheetData>
    <row r="1" spans="1:30" s="20" customFormat="1" ht="21.75" hidden="1" customHeight="1" x14ac:dyDescent="0.15">
      <c r="A1" s="99" t="s">
        <v>11</v>
      </c>
      <c r="B1" s="99"/>
      <c r="C1" s="99"/>
      <c r="D1" s="46"/>
      <c r="E1" s="47"/>
      <c r="F1" s="32"/>
      <c r="G1" s="21"/>
      <c r="J1" s="21"/>
      <c r="M1" s="21"/>
      <c r="P1" s="21"/>
      <c r="S1" s="21"/>
      <c r="V1" s="21"/>
      <c r="Y1" s="21"/>
      <c r="AB1" s="21"/>
    </row>
    <row r="2" spans="1:30" s="20" customFormat="1" hidden="1" x14ac:dyDescent="0.15">
      <c r="A2" s="21"/>
      <c r="B2" s="29" t="s">
        <v>6</v>
      </c>
      <c r="C2" s="30">
        <v>10</v>
      </c>
      <c r="D2" s="46"/>
      <c r="E2" s="47"/>
      <c r="F2" s="32"/>
      <c r="G2" s="21"/>
      <c r="J2" s="21"/>
      <c r="M2" s="21"/>
      <c r="P2" s="21"/>
      <c r="S2" s="21"/>
      <c r="V2" s="21"/>
      <c r="Y2" s="21"/>
      <c r="AB2" s="21"/>
    </row>
    <row r="3" spans="1:30" s="20" customFormat="1" hidden="1" x14ac:dyDescent="0.15">
      <c r="A3" s="21"/>
      <c r="B3" s="29" t="s">
        <v>7</v>
      </c>
      <c r="C3" s="30" t="s">
        <v>14</v>
      </c>
      <c r="D3" s="46"/>
      <c r="E3" s="47"/>
      <c r="F3" s="32"/>
      <c r="G3" s="21"/>
      <c r="J3" s="21"/>
      <c r="M3" s="21"/>
      <c r="P3" s="21"/>
      <c r="S3" s="21"/>
      <c r="V3" s="21"/>
      <c r="Y3" s="21"/>
      <c r="AB3" s="21"/>
    </row>
    <row r="4" spans="1:30" s="20" customFormat="1" hidden="1" x14ac:dyDescent="0.15">
      <c r="A4" s="21"/>
      <c r="B4" s="29" t="s">
        <v>8</v>
      </c>
      <c r="C4" s="30" t="s">
        <v>15</v>
      </c>
      <c r="D4" s="48"/>
      <c r="E4" s="47"/>
      <c r="F4" s="32"/>
      <c r="G4" s="21"/>
      <c r="J4" s="21"/>
      <c r="M4" s="21"/>
      <c r="P4" s="21"/>
      <c r="S4" s="21"/>
      <c r="V4" s="21"/>
      <c r="Y4" s="21"/>
      <c r="AB4" s="21"/>
    </row>
    <row r="5" spans="1:30" s="20" customFormat="1" hidden="1" x14ac:dyDescent="0.15">
      <c r="A5" s="21"/>
      <c r="B5" s="22"/>
      <c r="C5" s="31" t="str">
        <f>IF(AND(C4="Auto", C3="Y"),"\_ STEP mode won't fetch error if set to Auto.","")</f>
        <v/>
      </c>
      <c r="D5" s="46"/>
      <c r="E5" s="47"/>
      <c r="F5" s="32"/>
      <c r="J5" s="21"/>
      <c r="M5" s="21"/>
      <c r="P5" s="21"/>
      <c r="S5" s="21"/>
      <c r="V5" s="21"/>
      <c r="Y5" s="21"/>
      <c r="AB5" s="21"/>
    </row>
    <row r="6" spans="1:30" s="24" customFormat="1" ht="2.25" hidden="1" customHeight="1" x14ac:dyDescent="0.15">
      <c r="A6" s="23"/>
      <c r="C6" s="25"/>
      <c r="D6" s="49"/>
      <c r="E6" s="50"/>
      <c r="F6" s="33"/>
      <c r="J6" s="23"/>
      <c r="M6" s="23"/>
      <c r="P6" s="23"/>
      <c r="S6" s="23"/>
      <c r="V6" s="23"/>
      <c r="Y6" s="23"/>
      <c r="AB6" s="23"/>
    </row>
    <row r="7" spans="1:30" s="27" customFormat="1" ht="2.25" hidden="1" customHeight="1" x14ac:dyDescent="0.15">
      <c r="A7" s="26"/>
      <c r="C7" s="28"/>
      <c r="D7" s="51"/>
      <c r="E7" s="52"/>
      <c r="F7" s="34"/>
      <c r="J7" s="26"/>
      <c r="M7" s="26"/>
      <c r="P7" s="26"/>
      <c r="S7" s="26"/>
      <c r="V7" s="26"/>
      <c r="Y7" s="26"/>
      <c r="AB7" s="26"/>
    </row>
    <row r="8" spans="1:30" s="27" customFormat="1" ht="2.25" hidden="1" customHeight="1" x14ac:dyDescent="0.15">
      <c r="A8" s="26"/>
      <c r="C8" s="28"/>
      <c r="D8" s="51"/>
      <c r="E8" s="52"/>
      <c r="F8" s="34"/>
      <c r="J8" s="26"/>
      <c r="M8" s="26"/>
      <c r="P8" s="26"/>
      <c r="S8" s="26"/>
      <c r="V8" s="26"/>
      <c r="Y8" s="26"/>
      <c r="AB8" s="26"/>
    </row>
    <row r="9" spans="1:30" s="36" customFormat="1" ht="2.25" hidden="1" customHeight="1" x14ac:dyDescent="0.15">
      <c r="A9" s="26"/>
      <c r="B9" s="27"/>
      <c r="C9" s="28"/>
      <c r="D9" s="51"/>
      <c r="E9" s="52"/>
      <c r="F9" s="35"/>
      <c r="J9" s="37"/>
      <c r="M9" s="37"/>
      <c r="P9" s="37"/>
      <c r="S9" s="37"/>
      <c r="V9" s="37"/>
      <c r="Y9" s="37"/>
      <c r="AB9" s="37"/>
    </row>
    <row r="10" spans="1:30" s="20" customFormat="1" ht="2.25" hidden="1" customHeight="1" x14ac:dyDescent="0.15">
      <c r="A10" s="26"/>
      <c r="B10" s="27"/>
      <c r="C10" s="28"/>
      <c r="D10" s="51"/>
      <c r="E10" s="52"/>
      <c r="F10" s="32"/>
      <c r="J10" s="21"/>
      <c r="M10" s="21"/>
      <c r="P10" s="21"/>
      <c r="S10" s="21"/>
      <c r="V10" s="21"/>
      <c r="Y10" s="21"/>
      <c r="AB10" s="21"/>
    </row>
    <row r="11" spans="1:30" s="63" customFormat="1" ht="45.75" customHeight="1" x14ac:dyDescent="0.15">
      <c r="A11" s="56"/>
      <c r="B11" s="57" t="s">
        <v>10</v>
      </c>
      <c r="C11" s="56"/>
      <c r="D11" s="100" t="s">
        <v>9</v>
      </c>
      <c r="E11" s="100"/>
      <c r="F11" s="58"/>
      <c r="G11" s="59"/>
      <c r="H11" s="60"/>
      <c r="I11" s="61"/>
      <c r="J11" s="62"/>
      <c r="K11" s="60"/>
      <c r="L11" s="61"/>
      <c r="M11" s="62"/>
      <c r="N11" s="60"/>
      <c r="O11" s="61"/>
      <c r="P11" s="62"/>
      <c r="Q11" s="60"/>
      <c r="R11" s="61"/>
      <c r="S11" s="62"/>
      <c r="T11" s="60"/>
      <c r="U11" s="61"/>
      <c r="V11" s="62"/>
      <c r="W11" s="60"/>
      <c r="X11" s="61"/>
      <c r="Y11" s="62"/>
      <c r="Z11" s="60"/>
      <c r="AA11" s="61"/>
      <c r="AB11" s="62"/>
      <c r="AC11" s="60"/>
      <c r="AD11" s="61"/>
    </row>
    <row r="12" spans="1:30" s="63" customFormat="1" ht="15" customHeight="1" x14ac:dyDescent="0.15">
      <c r="A12" s="56"/>
      <c r="B12" s="56"/>
      <c r="C12" s="56"/>
      <c r="D12" s="101"/>
      <c r="E12" s="101"/>
      <c r="F12" s="58"/>
      <c r="G12" s="59"/>
      <c r="H12" s="64"/>
      <c r="I12" s="61"/>
      <c r="J12" s="59"/>
      <c r="K12" s="64"/>
      <c r="L12" s="61"/>
      <c r="M12" s="59"/>
      <c r="N12" s="64"/>
      <c r="O12" s="61"/>
      <c r="P12" s="59"/>
      <c r="Q12" s="64"/>
      <c r="R12" s="61"/>
      <c r="S12" s="59"/>
      <c r="T12" s="64"/>
      <c r="U12" s="61"/>
      <c r="V12" s="59"/>
      <c r="W12" s="64"/>
      <c r="X12" s="61"/>
      <c r="Y12" s="59"/>
      <c r="Z12" s="64"/>
      <c r="AA12" s="61"/>
      <c r="AB12" s="59"/>
      <c r="AC12" s="64"/>
      <c r="AD12" s="61"/>
    </row>
    <row r="13" spans="1:30" s="63" customFormat="1" ht="15" customHeight="1" x14ac:dyDescent="0.15">
      <c r="A13" s="56"/>
      <c r="B13" s="65"/>
      <c r="C13" s="56"/>
      <c r="D13" s="102"/>
      <c r="E13" s="102"/>
      <c r="F13" s="58"/>
      <c r="G13" s="59"/>
      <c r="H13" s="66"/>
      <c r="I13" s="67"/>
      <c r="J13" s="59"/>
      <c r="K13" s="66"/>
      <c r="L13" s="67"/>
      <c r="M13" s="59"/>
      <c r="N13" s="66"/>
      <c r="O13" s="67"/>
      <c r="P13" s="59"/>
      <c r="Q13" s="66"/>
      <c r="R13" s="67"/>
      <c r="S13" s="59"/>
      <c r="T13" s="66"/>
      <c r="U13" s="67"/>
      <c r="V13" s="59"/>
      <c r="W13" s="66"/>
      <c r="X13" s="67"/>
      <c r="Y13" s="59"/>
      <c r="Z13" s="66"/>
      <c r="AA13" s="67"/>
      <c r="AB13" s="59"/>
      <c r="AC13" s="66"/>
      <c r="AD13" s="67"/>
    </row>
    <row r="14" spans="1:30" s="45" customFormat="1" ht="18" customHeight="1" x14ac:dyDescent="0.15">
      <c r="A14" s="38" t="s">
        <v>5</v>
      </c>
      <c r="B14" s="39" t="s">
        <v>1</v>
      </c>
      <c r="C14" s="39" t="s">
        <v>0</v>
      </c>
      <c r="D14" s="40" t="s">
        <v>2</v>
      </c>
      <c r="E14" s="41" t="s">
        <v>3</v>
      </c>
      <c r="F14" s="17"/>
      <c r="G14" s="42" t="s">
        <v>5</v>
      </c>
      <c r="H14" s="43" t="s">
        <v>1</v>
      </c>
      <c r="I14" s="44" t="s">
        <v>0</v>
      </c>
      <c r="J14" s="42" t="s">
        <v>5</v>
      </c>
      <c r="K14" s="43" t="s">
        <v>1</v>
      </c>
      <c r="L14" s="44" t="s">
        <v>0</v>
      </c>
      <c r="M14" s="42" t="s">
        <v>5</v>
      </c>
      <c r="N14" s="43" t="s">
        <v>1</v>
      </c>
      <c r="O14" s="44" t="s">
        <v>0</v>
      </c>
      <c r="P14" s="42" t="s">
        <v>5</v>
      </c>
      <c r="Q14" s="43" t="s">
        <v>1</v>
      </c>
      <c r="R14" s="44" t="s">
        <v>0</v>
      </c>
      <c r="S14" s="42" t="s">
        <v>5</v>
      </c>
      <c r="T14" s="43" t="s">
        <v>1</v>
      </c>
      <c r="U14" s="44" t="s">
        <v>0</v>
      </c>
      <c r="V14" s="42" t="s">
        <v>5</v>
      </c>
      <c r="W14" s="43" t="s">
        <v>1</v>
      </c>
      <c r="X14" s="44" t="s">
        <v>0</v>
      </c>
      <c r="Y14" s="42" t="s">
        <v>5</v>
      </c>
      <c r="Z14" s="43" t="s">
        <v>1</v>
      </c>
      <c r="AA14" s="44" t="s">
        <v>0</v>
      </c>
      <c r="AB14" s="42" t="s">
        <v>5</v>
      </c>
      <c r="AC14" s="43" t="s">
        <v>1</v>
      </c>
      <c r="AD14" s="44" t="s">
        <v>0</v>
      </c>
    </row>
    <row r="15" spans="1:30" s="6" customFormat="1" ht="3.75" customHeight="1" x14ac:dyDescent="0.15">
      <c r="A15" s="13">
        <v>1</v>
      </c>
      <c r="B15" s="14"/>
      <c r="C15" s="14"/>
      <c r="D15" s="15"/>
      <c r="E15" s="8"/>
      <c r="F15" s="5"/>
      <c r="G15" s="10"/>
      <c r="H15" s="8"/>
      <c r="I15" s="11"/>
      <c r="J15" s="10"/>
      <c r="K15" s="8"/>
      <c r="L15" s="11"/>
      <c r="M15" s="10"/>
      <c r="N15" s="8"/>
      <c r="O15" s="11"/>
      <c r="P15" s="10"/>
      <c r="Q15" s="8"/>
      <c r="R15" s="11"/>
      <c r="S15" s="10"/>
      <c r="T15" s="8"/>
      <c r="U15" s="11"/>
      <c r="V15" s="10"/>
      <c r="W15" s="8"/>
      <c r="X15" s="11"/>
      <c r="Y15" s="10"/>
      <c r="Z15" s="8"/>
      <c r="AA15" s="11"/>
      <c r="AB15" s="10"/>
      <c r="AC15" s="8"/>
      <c r="AD15" s="11"/>
    </row>
    <row r="16" spans="1:30" x14ac:dyDescent="0.15">
      <c r="A16" s="9">
        <v>14</v>
      </c>
      <c r="B16" s="126" t="s">
        <v>166</v>
      </c>
      <c r="C16" s="12"/>
      <c r="D16" s="53" t="s">
        <v>125</v>
      </c>
      <c r="E16" s="54" t="s">
        <v>126</v>
      </c>
      <c r="H16" s="2"/>
      <c r="J16" s="7" t="s">
        <v>4</v>
      </c>
      <c r="K16" s="16"/>
      <c r="L16" s="18"/>
      <c r="M16" s="9" t="s">
        <v>4</v>
      </c>
      <c r="Y16" s="9" t="s">
        <v>4</v>
      </c>
    </row>
    <row r="17" spans="1:12" x14ac:dyDescent="0.15">
      <c r="A17" s="9">
        <v>14</v>
      </c>
      <c r="B17" s="126" t="s">
        <v>13</v>
      </c>
      <c r="C17" s="96"/>
      <c r="D17" s="53" t="s">
        <v>167</v>
      </c>
      <c r="E17" s="54" t="s">
        <v>126</v>
      </c>
      <c r="H17" s="82"/>
      <c r="I17" s="96"/>
      <c r="J17" s="7"/>
      <c r="K17" s="16"/>
      <c r="L17" s="18"/>
    </row>
    <row r="18" spans="1:12" x14ac:dyDescent="0.15">
      <c r="A18" s="9">
        <v>14</v>
      </c>
      <c r="B18" s="126" t="s">
        <v>128</v>
      </c>
      <c r="C18" s="86" t="s">
        <v>130</v>
      </c>
      <c r="D18" s="53" t="s">
        <v>168</v>
      </c>
      <c r="E18" s="54" t="s">
        <v>126</v>
      </c>
      <c r="H18" s="2"/>
      <c r="I18" s="19"/>
    </row>
    <row r="19" spans="1:12" x14ac:dyDescent="0.15">
      <c r="A19" s="7">
        <v>14</v>
      </c>
      <c r="B19" s="127" t="s">
        <v>57</v>
      </c>
      <c r="C19" s="86" t="s">
        <v>58</v>
      </c>
      <c r="D19" s="53" t="s">
        <v>126</v>
      </c>
      <c r="E19" s="54" t="s">
        <v>126</v>
      </c>
      <c r="G19" s="73"/>
      <c r="H19" s="82"/>
      <c r="I19" s="19"/>
    </row>
    <row r="20" spans="1:12" ht="15" customHeight="1" x14ac:dyDescent="0.15">
      <c r="A20" s="7">
        <v>14</v>
      </c>
      <c r="B20" s="127" t="s">
        <v>59</v>
      </c>
      <c r="C20" s="86" t="s">
        <v>60</v>
      </c>
      <c r="D20" s="85" t="s">
        <v>169</v>
      </c>
      <c r="E20" s="54" t="s">
        <v>126</v>
      </c>
      <c r="G20" s="7"/>
      <c r="H20" s="82"/>
      <c r="I20" s="19"/>
    </row>
    <row r="21" spans="1:12" x14ac:dyDescent="0.15">
      <c r="A21" s="7">
        <v>14</v>
      </c>
      <c r="B21" s="127" t="s">
        <v>61</v>
      </c>
      <c r="C21" s="86" t="s">
        <v>62</v>
      </c>
      <c r="D21" s="71" t="s">
        <v>170</v>
      </c>
      <c r="E21" s="54" t="s">
        <v>126</v>
      </c>
    </row>
    <row r="22" spans="1:12" x14ac:dyDescent="0.15">
      <c r="A22" s="7">
        <v>14</v>
      </c>
      <c r="B22" s="127" t="s">
        <v>74</v>
      </c>
      <c r="C22" s="86" t="s">
        <v>75</v>
      </c>
      <c r="D22" s="71" t="s">
        <v>171</v>
      </c>
      <c r="E22" s="54" t="s">
        <v>126</v>
      </c>
    </row>
    <row r="23" spans="1:12" x14ac:dyDescent="0.15">
      <c r="A23" s="7">
        <v>14</v>
      </c>
      <c r="B23" s="126" t="s">
        <v>39</v>
      </c>
      <c r="C23" s="87" t="s">
        <v>48</v>
      </c>
      <c r="D23" s="53" t="s">
        <v>125</v>
      </c>
      <c r="E23" s="54" t="s">
        <v>126</v>
      </c>
      <c r="G23" s="73"/>
      <c r="H23" s="2"/>
      <c r="I23" s="19"/>
    </row>
    <row r="24" spans="1:12" x14ac:dyDescent="0.15">
      <c r="A24" s="7">
        <v>14</v>
      </c>
      <c r="B24" s="126" t="s">
        <v>40</v>
      </c>
      <c r="C24" s="87"/>
      <c r="D24" s="71">
        <v>-5.0440168380000001</v>
      </c>
      <c r="E24" s="54" t="s">
        <v>126</v>
      </c>
    </row>
    <row r="25" spans="1:12" x14ac:dyDescent="0.15">
      <c r="A25" s="7">
        <v>14</v>
      </c>
      <c r="B25" s="126" t="s">
        <v>41</v>
      </c>
      <c r="D25" s="83" t="s">
        <v>125</v>
      </c>
      <c r="E25" s="54" t="s">
        <v>126</v>
      </c>
    </row>
    <row r="26" spans="1:12" x14ac:dyDescent="0.15">
      <c r="A26" s="7">
        <v>14</v>
      </c>
      <c r="B26" s="126" t="s">
        <v>42</v>
      </c>
      <c r="C26" s="88" t="s">
        <v>49</v>
      </c>
      <c r="D26" s="71">
        <v>-5.0917553900000003</v>
      </c>
      <c r="E26" s="54" t="s">
        <v>126</v>
      </c>
    </row>
    <row r="27" spans="1:12" x14ac:dyDescent="0.15">
      <c r="A27" s="7">
        <v>14</v>
      </c>
      <c r="B27" s="126" t="s">
        <v>43</v>
      </c>
      <c r="C27" s="88" t="s">
        <v>50</v>
      </c>
      <c r="D27" s="71">
        <v>-5.064416885</v>
      </c>
      <c r="E27" s="54" t="s">
        <v>126</v>
      </c>
    </row>
    <row r="28" spans="1:12" x14ac:dyDescent="0.15">
      <c r="A28" s="7">
        <v>14</v>
      </c>
      <c r="B28" s="126" t="s">
        <v>44</v>
      </c>
      <c r="C28" s="88" t="s">
        <v>51</v>
      </c>
      <c r="D28" s="71">
        <v>-5.0616073610000001</v>
      </c>
      <c r="E28" s="54" t="s">
        <v>126</v>
      </c>
    </row>
    <row r="29" spans="1:12" x14ac:dyDescent="0.15">
      <c r="A29" s="7">
        <v>14</v>
      </c>
      <c r="B29" s="126" t="s">
        <v>45</v>
      </c>
      <c r="C29" s="88" t="s">
        <v>54</v>
      </c>
      <c r="D29" s="71">
        <v>-5.0374898909999999</v>
      </c>
      <c r="E29" s="54" t="s">
        <v>126</v>
      </c>
    </row>
    <row r="30" spans="1:12" x14ac:dyDescent="0.15">
      <c r="A30" s="7">
        <v>14</v>
      </c>
      <c r="B30" s="126" t="s">
        <v>46</v>
      </c>
      <c r="C30" s="88" t="s">
        <v>52</v>
      </c>
      <c r="D30" s="71">
        <v>-5.0548658370000004</v>
      </c>
      <c r="E30" s="54" t="s">
        <v>126</v>
      </c>
    </row>
    <row r="31" spans="1:12" x14ac:dyDescent="0.15">
      <c r="A31" s="7">
        <v>14</v>
      </c>
      <c r="B31" s="126" t="s">
        <v>47</v>
      </c>
      <c r="C31" s="88" t="s">
        <v>53</v>
      </c>
      <c r="D31" s="71">
        <v>-5.0504007340000001</v>
      </c>
      <c r="E31" s="54" t="s">
        <v>126</v>
      </c>
    </row>
    <row r="32" spans="1:12" x14ac:dyDescent="0.15">
      <c r="A32" s="7">
        <v>14</v>
      </c>
      <c r="B32" s="126" t="s">
        <v>56</v>
      </c>
      <c r="C32" s="88" t="s">
        <v>55</v>
      </c>
      <c r="D32" s="71">
        <v>-5.0461187360000004</v>
      </c>
      <c r="E32" s="54" t="s">
        <v>126</v>
      </c>
    </row>
    <row r="33" spans="1:5" x14ac:dyDescent="0.15">
      <c r="A33" s="7">
        <v>14</v>
      </c>
      <c r="B33" s="126" t="s">
        <v>18</v>
      </c>
      <c r="C33" s="87"/>
      <c r="D33" s="69">
        <v>-5.0290131569999996</v>
      </c>
      <c r="E33" s="54" t="s">
        <v>126</v>
      </c>
    </row>
    <row r="34" spans="1:5" x14ac:dyDescent="0.15">
      <c r="A34" s="7">
        <v>14</v>
      </c>
      <c r="B34" s="126" t="s">
        <v>19</v>
      </c>
      <c r="C34" s="87"/>
      <c r="D34" s="69">
        <v>-5.0271883009999998</v>
      </c>
      <c r="E34" s="54" t="s">
        <v>126</v>
      </c>
    </row>
    <row r="35" spans="1:5" x14ac:dyDescent="0.15">
      <c r="A35" s="7">
        <v>14</v>
      </c>
      <c r="B35" s="126" t="s">
        <v>20</v>
      </c>
      <c r="C35" s="87"/>
      <c r="D35" s="69">
        <v>-5.0265860560000002</v>
      </c>
      <c r="E35" s="54" t="s">
        <v>126</v>
      </c>
    </row>
    <row r="36" spans="1:5" x14ac:dyDescent="0.15">
      <c r="A36" s="7">
        <v>14</v>
      </c>
      <c r="B36" s="126" t="s">
        <v>21</v>
      </c>
      <c r="C36" s="87"/>
      <c r="D36" s="69">
        <v>-5.025532246</v>
      </c>
      <c r="E36" s="54" t="s">
        <v>126</v>
      </c>
    </row>
    <row r="37" spans="1:5" x14ac:dyDescent="0.15">
      <c r="A37" s="7">
        <v>14</v>
      </c>
      <c r="B37" s="126" t="s">
        <v>22</v>
      </c>
      <c r="C37" s="87"/>
      <c r="D37" s="69">
        <v>-5.0362253189999997</v>
      </c>
      <c r="E37" s="54" t="s">
        <v>126</v>
      </c>
    </row>
    <row r="38" spans="1:5" x14ac:dyDescent="0.15">
      <c r="A38" s="7">
        <v>14</v>
      </c>
      <c r="B38" s="126" t="s">
        <v>23</v>
      </c>
      <c r="C38" s="87"/>
      <c r="D38" s="69">
        <v>-4.9912667270000002</v>
      </c>
      <c r="E38" s="54" t="s">
        <v>126</v>
      </c>
    </row>
    <row r="39" spans="1:5" x14ac:dyDescent="0.15">
      <c r="A39" s="7">
        <v>14</v>
      </c>
      <c r="B39" s="126" t="s">
        <v>77</v>
      </c>
      <c r="D39" s="53" t="s">
        <v>125</v>
      </c>
      <c r="E39" s="54" t="s">
        <v>126</v>
      </c>
    </row>
    <row r="40" spans="1:5" x14ac:dyDescent="0.15">
      <c r="A40" s="7">
        <v>14</v>
      </c>
      <c r="B40" s="126" t="s">
        <v>78</v>
      </c>
      <c r="C40" s="19" t="s">
        <v>26</v>
      </c>
      <c r="D40" s="53" t="s">
        <v>129</v>
      </c>
      <c r="E40" s="54" t="s">
        <v>126</v>
      </c>
    </row>
    <row r="41" spans="1:5" x14ac:dyDescent="0.15">
      <c r="A41" s="7">
        <v>14</v>
      </c>
      <c r="B41" s="126" t="s">
        <v>82</v>
      </c>
      <c r="D41" s="93">
        <v>-20</v>
      </c>
      <c r="E41" s="54" t="s">
        <v>126</v>
      </c>
    </row>
    <row r="42" spans="1:5" x14ac:dyDescent="0.15">
      <c r="A42" s="7">
        <v>14</v>
      </c>
      <c r="B42" s="126" t="s">
        <v>81</v>
      </c>
      <c r="D42" s="93" t="s">
        <v>125</v>
      </c>
      <c r="E42" s="54" t="s">
        <v>126</v>
      </c>
    </row>
    <row r="43" spans="1:5" x14ac:dyDescent="0.15">
      <c r="A43" s="7">
        <v>14</v>
      </c>
      <c r="B43" s="126" t="s">
        <v>79</v>
      </c>
      <c r="D43" s="93">
        <v>-88.849884029999998</v>
      </c>
      <c r="E43" s="54" t="s">
        <v>126</v>
      </c>
    </row>
    <row r="44" spans="1:5" x14ac:dyDescent="0.15">
      <c r="A44" s="7">
        <v>14</v>
      </c>
      <c r="B44" s="126" t="s">
        <v>80</v>
      </c>
      <c r="D44" s="93"/>
    </row>
    <row r="45" spans="1:5" x14ac:dyDescent="0.15">
      <c r="A45" s="7">
        <v>14</v>
      </c>
      <c r="B45" s="126" t="s">
        <v>79</v>
      </c>
      <c r="D45" s="93"/>
    </row>
    <row r="46" spans="1:5" x14ac:dyDescent="0.15">
      <c r="A46" s="7">
        <v>14</v>
      </c>
      <c r="B46" s="126" t="s">
        <v>83</v>
      </c>
      <c r="D46" s="93"/>
    </row>
    <row r="47" spans="1:5" x14ac:dyDescent="0.15">
      <c r="A47" s="7">
        <v>14</v>
      </c>
      <c r="B47" s="126" t="s">
        <v>79</v>
      </c>
      <c r="D47" s="93"/>
    </row>
    <row r="48" spans="1:5" x14ac:dyDescent="0.15">
      <c r="A48" s="7">
        <v>14</v>
      </c>
      <c r="B48" s="126" t="s">
        <v>84</v>
      </c>
      <c r="D48" s="93"/>
    </row>
    <row r="49" spans="1:4" x14ac:dyDescent="0.15">
      <c r="A49" s="7">
        <v>14</v>
      </c>
      <c r="B49" s="126" t="s">
        <v>79</v>
      </c>
      <c r="D49" s="93"/>
    </row>
    <row r="50" spans="1:4" x14ac:dyDescent="0.15">
      <c r="A50" s="7">
        <v>14</v>
      </c>
      <c r="B50" s="126" t="s">
        <v>85</v>
      </c>
      <c r="D50" s="93"/>
    </row>
    <row r="51" spans="1:4" x14ac:dyDescent="0.15">
      <c r="A51" s="7">
        <v>14</v>
      </c>
      <c r="B51" s="126" t="s">
        <v>79</v>
      </c>
      <c r="D51" s="93"/>
    </row>
    <row r="52" spans="1:4" x14ac:dyDescent="0.15">
      <c r="A52" s="7">
        <v>14</v>
      </c>
      <c r="B52" s="126" t="s">
        <v>86</v>
      </c>
      <c r="D52" s="93"/>
    </row>
    <row r="53" spans="1:4" x14ac:dyDescent="0.15">
      <c r="A53" s="7">
        <v>14</v>
      </c>
      <c r="B53" s="126" t="s">
        <v>79</v>
      </c>
      <c r="D53" s="93"/>
    </row>
    <row r="54" spans="1:4" x14ac:dyDescent="0.15">
      <c r="A54" s="7">
        <v>14</v>
      </c>
      <c r="B54" s="126" t="s">
        <v>87</v>
      </c>
      <c r="D54" s="93"/>
    </row>
    <row r="55" spans="1:4" x14ac:dyDescent="0.15">
      <c r="A55" s="7">
        <v>14</v>
      </c>
      <c r="B55" s="126" t="s">
        <v>79</v>
      </c>
      <c r="D55" s="93"/>
    </row>
    <row r="56" spans="1:4" x14ac:dyDescent="0.15">
      <c r="A56" s="7">
        <v>14</v>
      </c>
      <c r="B56" s="126" t="s">
        <v>88</v>
      </c>
      <c r="D56" s="93"/>
    </row>
    <row r="57" spans="1:4" x14ac:dyDescent="0.15">
      <c r="A57" s="7">
        <v>14</v>
      </c>
      <c r="B57" s="126" t="s">
        <v>79</v>
      </c>
      <c r="D57" s="93"/>
    </row>
    <row r="58" spans="1:4" x14ac:dyDescent="0.15">
      <c r="A58" s="7">
        <v>14</v>
      </c>
      <c r="B58" s="126" t="s">
        <v>89</v>
      </c>
      <c r="D58" s="93"/>
    </row>
    <row r="59" spans="1:4" x14ac:dyDescent="0.15">
      <c r="A59" s="7">
        <v>14</v>
      </c>
      <c r="B59" s="126" t="s">
        <v>79</v>
      </c>
      <c r="D59" s="93"/>
    </row>
    <row r="60" spans="1:4" x14ac:dyDescent="0.15">
      <c r="A60" s="7">
        <v>14</v>
      </c>
      <c r="B60" s="126" t="s">
        <v>90</v>
      </c>
      <c r="D60" s="93"/>
    </row>
    <row r="61" spans="1:4" x14ac:dyDescent="0.15">
      <c r="A61" s="7">
        <v>14</v>
      </c>
      <c r="B61" s="126" t="s">
        <v>79</v>
      </c>
      <c r="D61" s="93"/>
    </row>
    <row r="62" spans="1:4" x14ac:dyDescent="0.15">
      <c r="A62" s="7">
        <v>14</v>
      </c>
      <c r="B62" s="126" t="s">
        <v>91</v>
      </c>
      <c r="D62" s="93"/>
    </row>
    <row r="63" spans="1:4" x14ac:dyDescent="0.15">
      <c r="A63" s="7">
        <v>14</v>
      </c>
      <c r="B63" s="126" t="s">
        <v>79</v>
      </c>
      <c r="D63" s="93"/>
    </row>
    <row r="64" spans="1:4" x14ac:dyDescent="0.15">
      <c r="A64" s="7">
        <v>14</v>
      </c>
      <c r="B64" s="126" t="s">
        <v>92</v>
      </c>
      <c r="D64" s="93"/>
    </row>
    <row r="65" spans="1:4" x14ac:dyDescent="0.15">
      <c r="A65" s="7">
        <v>14</v>
      </c>
      <c r="B65" s="126" t="s">
        <v>79</v>
      </c>
      <c r="D65" s="93"/>
    </row>
    <row r="66" spans="1:4" x14ac:dyDescent="0.15">
      <c r="A66" s="7">
        <v>14</v>
      </c>
      <c r="B66" s="126" t="s">
        <v>93</v>
      </c>
      <c r="D66" s="93"/>
    </row>
    <row r="67" spans="1:4" x14ac:dyDescent="0.15">
      <c r="A67" s="7">
        <v>14</v>
      </c>
      <c r="B67" s="126" t="s">
        <v>79</v>
      </c>
      <c r="D67" s="93"/>
    </row>
    <row r="68" spans="1:4" x14ac:dyDescent="0.15">
      <c r="A68" s="7">
        <v>14</v>
      </c>
      <c r="B68" s="126" t="s">
        <v>94</v>
      </c>
      <c r="D68" s="93"/>
    </row>
    <row r="69" spans="1:4" x14ac:dyDescent="0.15">
      <c r="A69" s="7">
        <v>14</v>
      </c>
      <c r="B69" s="126" t="s">
        <v>79</v>
      </c>
      <c r="D69" s="93"/>
    </row>
    <row r="70" spans="1:4" x14ac:dyDescent="0.15">
      <c r="A70" s="7">
        <v>14</v>
      </c>
      <c r="B70" s="126" t="s">
        <v>95</v>
      </c>
      <c r="D70" s="93"/>
    </row>
    <row r="71" spans="1:4" x14ac:dyDescent="0.15">
      <c r="A71" s="7">
        <v>14</v>
      </c>
      <c r="B71" s="126" t="s">
        <v>79</v>
      </c>
      <c r="D71" s="93"/>
    </row>
    <row r="72" spans="1:4" x14ac:dyDescent="0.15">
      <c r="A72" s="7">
        <v>14</v>
      </c>
      <c r="B72" s="126" t="s">
        <v>96</v>
      </c>
      <c r="D72" s="93"/>
    </row>
    <row r="73" spans="1:4" x14ac:dyDescent="0.15">
      <c r="A73" s="7">
        <v>14</v>
      </c>
      <c r="B73" s="126" t="s">
        <v>79</v>
      </c>
      <c r="D73" s="93"/>
    </row>
    <row r="74" spans="1:4" x14ac:dyDescent="0.15">
      <c r="A74" s="7">
        <v>14</v>
      </c>
      <c r="B74" s="126" t="s">
        <v>97</v>
      </c>
      <c r="D74" s="71"/>
    </row>
    <row r="75" spans="1:4" x14ac:dyDescent="0.15">
      <c r="A75" s="7">
        <v>14</v>
      </c>
      <c r="B75" s="126" t="s">
        <v>79</v>
      </c>
      <c r="D75" s="93"/>
    </row>
    <row r="76" spans="1:4" x14ac:dyDescent="0.15">
      <c r="A76" s="7">
        <v>14</v>
      </c>
      <c r="B76" s="126" t="s">
        <v>98</v>
      </c>
      <c r="D76" s="93"/>
    </row>
    <row r="77" spans="1:4" x14ac:dyDescent="0.15">
      <c r="A77" s="7">
        <v>14</v>
      </c>
      <c r="B77" s="126" t="s">
        <v>79</v>
      </c>
      <c r="D77" s="93"/>
    </row>
    <row r="78" spans="1:4" x14ac:dyDescent="0.15">
      <c r="A78" s="7">
        <v>14</v>
      </c>
      <c r="B78" s="126" t="s">
        <v>99</v>
      </c>
      <c r="D78" s="93"/>
    </row>
    <row r="79" spans="1:4" x14ac:dyDescent="0.15">
      <c r="A79" s="7">
        <v>14</v>
      </c>
      <c r="B79" s="126" t="s">
        <v>79</v>
      </c>
      <c r="D79" s="93"/>
    </row>
    <row r="80" spans="1:4" x14ac:dyDescent="0.15">
      <c r="A80" s="7">
        <v>14</v>
      </c>
      <c r="B80" s="126" t="s">
        <v>100</v>
      </c>
      <c r="D80" s="93"/>
    </row>
    <row r="81" spans="1:4" x14ac:dyDescent="0.15">
      <c r="A81" s="7">
        <v>14</v>
      </c>
      <c r="B81" s="126" t="s">
        <v>79</v>
      </c>
      <c r="D81" s="93"/>
    </row>
    <row r="82" spans="1:4" x14ac:dyDescent="0.15">
      <c r="A82" s="7">
        <v>14</v>
      </c>
      <c r="B82" s="126" t="s">
        <v>101</v>
      </c>
      <c r="D82" s="93"/>
    </row>
    <row r="83" spans="1:4" x14ac:dyDescent="0.15">
      <c r="A83" s="7">
        <v>14</v>
      </c>
      <c r="B83" s="126" t="s">
        <v>79</v>
      </c>
      <c r="D83" s="93"/>
    </row>
    <row r="84" spans="1:4" x14ac:dyDescent="0.15">
      <c r="A84" s="7">
        <v>14</v>
      </c>
      <c r="B84" s="126" t="s">
        <v>102</v>
      </c>
      <c r="D84" s="93"/>
    </row>
    <row r="85" spans="1:4" x14ac:dyDescent="0.15">
      <c r="A85" s="7">
        <v>14</v>
      </c>
      <c r="B85" s="126" t="s">
        <v>79</v>
      </c>
      <c r="D85" s="93"/>
    </row>
    <row r="86" spans="1:4" x14ac:dyDescent="0.15">
      <c r="A86" s="7">
        <v>14</v>
      </c>
      <c r="B86" s="126" t="s">
        <v>103</v>
      </c>
      <c r="D86" s="93"/>
    </row>
    <row r="87" spans="1:4" x14ac:dyDescent="0.15">
      <c r="A87" s="7">
        <v>14</v>
      </c>
      <c r="B87" s="126" t="s">
        <v>79</v>
      </c>
      <c r="D87" s="93"/>
    </row>
    <row r="88" spans="1:4" x14ac:dyDescent="0.15">
      <c r="A88" s="7">
        <v>14</v>
      </c>
      <c r="B88" s="126" t="s">
        <v>104</v>
      </c>
      <c r="D88" s="93"/>
    </row>
    <row r="89" spans="1:4" x14ac:dyDescent="0.15">
      <c r="A89" s="7">
        <v>14</v>
      </c>
      <c r="B89" s="126" t="s">
        <v>79</v>
      </c>
      <c r="D89" s="93"/>
    </row>
    <row r="90" spans="1:4" x14ac:dyDescent="0.15">
      <c r="A90" s="7">
        <v>14</v>
      </c>
      <c r="B90" s="126" t="s">
        <v>105</v>
      </c>
      <c r="D90" s="93"/>
    </row>
    <row r="91" spans="1:4" x14ac:dyDescent="0.15">
      <c r="A91" s="7">
        <v>14</v>
      </c>
      <c r="B91" s="126" t="s">
        <v>79</v>
      </c>
      <c r="D91" s="93"/>
    </row>
    <row r="92" spans="1:4" x14ac:dyDescent="0.15">
      <c r="A92" s="7">
        <v>14</v>
      </c>
      <c r="B92" s="126" t="s">
        <v>106</v>
      </c>
      <c r="D92" s="93"/>
    </row>
    <row r="93" spans="1:4" x14ac:dyDescent="0.15">
      <c r="A93" s="7">
        <v>14</v>
      </c>
      <c r="B93" s="126" t="s">
        <v>79</v>
      </c>
      <c r="D93" s="93"/>
    </row>
    <row r="94" spans="1:4" x14ac:dyDescent="0.15">
      <c r="A94" s="7">
        <v>14</v>
      </c>
      <c r="B94" s="126" t="s">
        <v>107</v>
      </c>
      <c r="D94" s="71"/>
    </row>
    <row r="95" spans="1:4" x14ac:dyDescent="0.15">
      <c r="A95" s="7">
        <v>14</v>
      </c>
      <c r="B95" s="126" t="s">
        <v>79</v>
      </c>
      <c r="D95" s="93"/>
    </row>
    <row r="96" spans="1:4" x14ac:dyDescent="0.15">
      <c r="A96" s="7">
        <v>14</v>
      </c>
      <c r="B96" s="126" t="s">
        <v>108</v>
      </c>
      <c r="D96" s="93"/>
    </row>
    <row r="97" spans="1:4" x14ac:dyDescent="0.15">
      <c r="A97" s="7">
        <v>14</v>
      </c>
      <c r="B97" s="126" t="s">
        <v>79</v>
      </c>
      <c r="D97" s="93"/>
    </row>
    <row r="98" spans="1:4" x14ac:dyDescent="0.15">
      <c r="A98" s="7">
        <v>14</v>
      </c>
      <c r="B98" s="126" t="s">
        <v>109</v>
      </c>
      <c r="D98" s="93"/>
    </row>
    <row r="99" spans="1:4" x14ac:dyDescent="0.15">
      <c r="A99" s="7">
        <v>14</v>
      </c>
      <c r="B99" s="126" t="s">
        <v>79</v>
      </c>
      <c r="D99" s="93"/>
    </row>
    <row r="100" spans="1:4" x14ac:dyDescent="0.15">
      <c r="A100" s="7">
        <v>14</v>
      </c>
      <c r="B100" s="126" t="s">
        <v>110</v>
      </c>
      <c r="D100" s="93"/>
    </row>
    <row r="101" spans="1:4" x14ac:dyDescent="0.15">
      <c r="A101" s="7">
        <v>14</v>
      </c>
      <c r="B101" s="126" t="s">
        <v>79</v>
      </c>
      <c r="D101" s="93"/>
    </row>
    <row r="102" spans="1:4" x14ac:dyDescent="0.15">
      <c r="A102" s="7">
        <v>14</v>
      </c>
      <c r="B102" s="126" t="s">
        <v>111</v>
      </c>
      <c r="D102" s="93"/>
    </row>
    <row r="103" spans="1:4" x14ac:dyDescent="0.15">
      <c r="A103" s="7">
        <v>14</v>
      </c>
      <c r="B103" s="126" t="s">
        <v>79</v>
      </c>
      <c r="D103" s="93"/>
    </row>
    <row r="104" spans="1:4" x14ac:dyDescent="0.15">
      <c r="A104" s="7">
        <v>14</v>
      </c>
      <c r="B104" s="126" t="s">
        <v>112</v>
      </c>
      <c r="D104" s="93"/>
    </row>
    <row r="105" spans="1:4" x14ac:dyDescent="0.15">
      <c r="A105" s="7">
        <v>14</v>
      </c>
      <c r="B105" s="126" t="s">
        <v>79</v>
      </c>
      <c r="D105" s="93"/>
    </row>
    <row r="106" spans="1:4" x14ac:dyDescent="0.15">
      <c r="A106" s="7">
        <v>14</v>
      </c>
      <c r="B106" s="126" t="s">
        <v>113</v>
      </c>
      <c r="D106" s="93"/>
    </row>
    <row r="107" spans="1:4" x14ac:dyDescent="0.15">
      <c r="A107" s="7">
        <v>14</v>
      </c>
      <c r="B107" s="126" t="s">
        <v>79</v>
      </c>
      <c r="D107" s="93"/>
    </row>
    <row r="108" spans="1:4" x14ac:dyDescent="0.15">
      <c r="A108" s="7">
        <v>14</v>
      </c>
      <c r="B108" s="126" t="s">
        <v>114</v>
      </c>
      <c r="D108" s="93"/>
    </row>
    <row r="109" spans="1:4" x14ac:dyDescent="0.15">
      <c r="A109" s="7">
        <v>14</v>
      </c>
      <c r="B109" s="126" t="s">
        <v>79</v>
      </c>
      <c r="D109" s="93"/>
    </row>
    <row r="110" spans="1:4" x14ac:dyDescent="0.15">
      <c r="A110" s="7">
        <v>14</v>
      </c>
      <c r="B110" s="126" t="s">
        <v>115</v>
      </c>
      <c r="D110" s="93"/>
    </row>
    <row r="111" spans="1:4" x14ac:dyDescent="0.15">
      <c r="A111" s="7">
        <v>14</v>
      </c>
      <c r="B111" s="126" t="s">
        <v>79</v>
      </c>
      <c r="D111" s="93"/>
    </row>
    <row r="112" spans="1:4" x14ac:dyDescent="0.15">
      <c r="A112" s="7">
        <v>14</v>
      </c>
      <c r="B112" s="126" t="s">
        <v>116</v>
      </c>
      <c r="D112" s="93"/>
    </row>
    <row r="113" spans="1:4" x14ac:dyDescent="0.15">
      <c r="A113" s="7">
        <v>14</v>
      </c>
      <c r="B113" s="126" t="s">
        <v>79</v>
      </c>
      <c r="D113" s="93"/>
    </row>
    <row r="114" spans="1:4" x14ac:dyDescent="0.15">
      <c r="A114" s="7">
        <v>14</v>
      </c>
      <c r="B114" s="126" t="s">
        <v>67</v>
      </c>
      <c r="C114" s="19" t="s">
        <v>68</v>
      </c>
    </row>
    <row r="115" spans="1:4" x14ac:dyDescent="0.15">
      <c r="A115" s="7">
        <v>14</v>
      </c>
      <c r="B115" s="126" t="s">
        <v>24</v>
      </c>
      <c r="D115" s="94"/>
    </row>
    <row r="116" spans="1:4" x14ac:dyDescent="0.15">
      <c r="A116" s="7">
        <v>14</v>
      </c>
      <c r="B116" s="126" t="s">
        <v>81</v>
      </c>
      <c r="D116" s="71"/>
    </row>
    <row r="117" spans="1:4" x14ac:dyDescent="0.15">
      <c r="A117" s="7">
        <v>14</v>
      </c>
      <c r="B117" s="126" t="s">
        <v>79</v>
      </c>
      <c r="D117" s="94"/>
    </row>
    <row r="118" spans="1:4" x14ac:dyDescent="0.15">
      <c r="A118" s="7">
        <v>14</v>
      </c>
      <c r="B118" s="126" t="s">
        <v>85</v>
      </c>
      <c r="D118" s="93"/>
    </row>
    <row r="119" spans="1:4" x14ac:dyDescent="0.15">
      <c r="A119" s="7">
        <v>14</v>
      </c>
      <c r="B119" s="126" t="s">
        <v>79</v>
      </c>
      <c r="D119" s="94"/>
    </row>
    <row r="120" spans="1:4" x14ac:dyDescent="0.15">
      <c r="A120" s="7">
        <v>14</v>
      </c>
      <c r="B120" s="126" t="s">
        <v>117</v>
      </c>
      <c r="D120" s="93"/>
    </row>
    <row r="121" spans="1:4" x14ac:dyDescent="0.15">
      <c r="A121" s="7">
        <v>14</v>
      </c>
      <c r="B121" s="126" t="s">
        <v>79</v>
      </c>
      <c r="D121" s="94"/>
    </row>
    <row r="122" spans="1:4" x14ac:dyDescent="0.15">
      <c r="A122" s="7">
        <v>14</v>
      </c>
      <c r="B122" s="126" t="s">
        <v>118</v>
      </c>
      <c r="D122" s="93"/>
    </row>
    <row r="123" spans="1:4" x14ac:dyDescent="0.15">
      <c r="A123" s="7">
        <v>14</v>
      </c>
      <c r="B123" s="126" t="s">
        <v>79</v>
      </c>
      <c r="D123" s="94"/>
    </row>
    <row r="124" spans="1:4" x14ac:dyDescent="0.15">
      <c r="A124" s="7">
        <v>14</v>
      </c>
      <c r="B124" s="126" t="s">
        <v>119</v>
      </c>
      <c r="D124" s="93"/>
    </row>
    <row r="125" spans="1:4" x14ac:dyDescent="0.15">
      <c r="A125" s="7">
        <v>14</v>
      </c>
      <c r="B125" s="126" t="s">
        <v>79</v>
      </c>
      <c r="D125" s="94"/>
    </row>
    <row r="126" spans="1:4" x14ac:dyDescent="0.15">
      <c r="A126" s="7">
        <v>14</v>
      </c>
      <c r="B126" s="126" t="s">
        <v>120</v>
      </c>
      <c r="D126" s="93"/>
    </row>
    <row r="127" spans="1:4" x14ac:dyDescent="0.15">
      <c r="A127" s="7">
        <v>14</v>
      </c>
      <c r="B127" s="126" t="s">
        <v>79</v>
      </c>
      <c r="D127" s="94"/>
    </row>
    <row r="128" spans="1:4" x14ac:dyDescent="0.15">
      <c r="A128" s="7">
        <v>14</v>
      </c>
      <c r="B128" s="126" t="s">
        <v>121</v>
      </c>
      <c r="D128" s="93"/>
    </row>
    <row r="129" spans="1:4" x14ac:dyDescent="0.15">
      <c r="A129" s="7">
        <v>14</v>
      </c>
      <c r="B129" s="126" t="s">
        <v>79</v>
      </c>
      <c r="D129" s="94"/>
    </row>
    <row r="130" spans="1:4" x14ac:dyDescent="0.15">
      <c r="A130" s="7">
        <v>14</v>
      </c>
      <c r="B130" s="126" t="s">
        <v>122</v>
      </c>
      <c r="D130" s="93"/>
    </row>
    <row r="131" spans="1:4" x14ac:dyDescent="0.15">
      <c r="A131" s="7">
        <v>14</v>
      </c>
      <c r="B131" s="126" t="s">
        <v>79</v>
      </c>
      <c r="D131" s="94"/>
    </row>
    <row r="132" spans="1:4" x14ac:dyDescent="0.15">
      <c r="A132" s="7">
        <v>14</v>
      </c>
      <c r="B132" s="126" t="s">
        <v>69</v>
      </c>
      <c r="C132" s="19" t="s">
        <v>70</v>
      </c>
      <c r="D132" s="53"/>
    </row>
    <row r="133" spans="1:4" x14ac:dyDescent="0.15">
      <c r="A133" s="7">
        <v>14</v>
      </c>
      <c r="B133" s="126" t="s">
        <v>81</v>
      </c>
      <c r="D133" s="71"/>
    </row>
    <row r="134" spans="1:4" x14ac:dyDescent="0.15">
      <c r="A134" s="7">
        <v>14</v>
      </c>
      <c r="B134" s="126" t="s">
        <v>79</v>
      </c>
      <c r="D134" s="94"/>
    </row>
    <row r="135" spans="1:4" x14ac:dyDescent="0.15">
      <c r="A135" s="7">
        <v>14</v>
      </c>
      <c r="B135" s="126" t="s">
        <v>117</v>
      </c>
      <c r="D135" s="71"/>
    </row>
    <row r="136" spans="1:4" x14ac:dyDescent="0.15">
      <c r="A136" s="7">
        <v>14</v>
      </c>
      <c r="B136" s="126" t="s">
        <v>79</v>
      </c>
      <c r="D136" s="94"/>
    </row>
    <row r="137" spans="1:4" x14ac:dyDescent="0.15">
      <c r="A137" s="7">
        <v>14</v>
      </c>
      <c r="B137" s="126" t="s">
        <v>119</v>
      </c>
      <c r="D137" s="71"/>
    </row>
    <row r="138" spans="1:4" x14ac:dyDescent="0.15">
      <c r="A138" s="7">
        <v>14</v>
      </c>
      <c r="B138" s="126" t="s">
        <v>79</v>
      </c>
      <c r="D138" s="94"/>
    </row>
    <row r="139" spans="1:4" x14ac:dyDescent="0.15">
      <c r="A139" s="7">
        <v>14</v>
      </c>
      <c r="B139" s="126" t="s">
        <v>123</v>
      </c>
      <c r="D139" s="71"/>
    </row>
    <row r="140" spans="1:4" x14ac:dyDescent="0.15">
      <c r="A140" s="7">
        <v>14</v>
      </c>
      <c r="B140" s="127" t="s">
        <v>16</v>
      </c>
      <c r="C140" s="98" t="s">
        <v>151</v>
      </c>
      <c r="D140" s="53"/>
    </row>
    <row r="141" spans="1:4" x14ac:dyDescent="0.15">
      <c r="A141" s="7">
        <v>14</v>
      </c>
      <c r="B141" s="127" t="s">
        <v>131</v>
      </c>
      <c r="C141" s="19" t="s">
        <v>132</v>
      </c>
      <c r="D141" s="53"/>
    </row>
    <row r="142" spans="1:4" x14ac:dyDescent="0.15">
      <c r="A142" s="7">
        <v>14</v>
      </c>
      <c r="B142" s="127" t="s">
        <v>133</v>
      </c>
    </row>
    <row r="143" spans="1:4" x14ac:dyDescent="0.15">
      <c r="A143" s="7">
        <v>14</v>
      </c>
      <c r="B143" s="127" t="s">
        <v>154</v>
      </c>
    </row>
    <row r="144" spans="1:4" x14ac:dyDescent="0.15">
      <c r="A144" s="7">
        <v>14</v>
      </c>
      <c r="B144" s="127" t="s">
        <v>172</v>
      </c>
      <c r="C144" s="96"/>
      <c r="D144" s="53"/>
    </row>
    <row r="145" spans="1:4" x14ac:dyDescent="0.15">
      <c r="A145" s="7">
        <v>14</v>
      </c>
      <c r="B145" s="127" t="s">
        <v>152</v>
      </c>
      <c r="D145" s="53"/>
    </row>
    <row r="146" spans="1:4" x14ac:dyDescent="0.15">
      <c r="A146" s="7">
        <v>14</v>
      </c>
      <c r="B146" s="127" t="s">
        <v>134</v>
      </c>
      <c r="C146" s="19" t="s">
        <v>135</v>
      </c>
      <c r="D146" s="53"/>
    </row>
    <row r="147" spans="1:4" x14ac:dyDescent="0.15">
      <c r="A147" s="7">
        <v>14</v>
      </c>
      <c r="B147" s="127" t="s">
        <v>153</v>
      </c>
      <c r="D147" s="53"/>
    </row>
    <row r="148" spans="1:4" x14ac:dyDescent="0.15">
      <c r="A148" s="7">
        <v>14</v>
      </c>
      <c r="B148" s="127" t="s">
        <v>136</v>
      </c>
    </row>
    <row r="149" spans="1:4" x14ac:dyDescent="0.15">
      <c r="A149" s="7">
        <v>14</v>
      </c>
      <c r="B149" s="127" t="s">
        <v>137</v>
      </c>
      <c r="C149" s="19" t="s">
        <v>138</v>
      </c>
      <c r="D149" s="53"/>
    </row>
    <row r="150" spans="1:4" x14ac:dyDescent="0.15">
      <c r="A150" s="7">
        <v>14</v>
      </c>
      <c r="B150" s="127" t="s">
        <v>139</v>
      </c>
      <c r="C150" s="19" t="s">
        <v>140</v>
      </c>
    </row>
    <row r="151" spans="1:4" x14ac:dyDescent="0.15">
      <c r="A151" s="7">
        <v>14</v>
      </c>
      <c r="B151" s="127" t="s">
        <v>141</v>
      </c>
      <c r="D151" s="53"/>
    </row>
    <row r="152" spans="1:4" x14ac:dyDescent="0.15">
      <c r="A152" s="7">
        <v>14</v>
      </c>
      <c r="B152" s="127" t="s">
        <v>142</v>
      </c>
      <c r="C152" s="86" t="s">
        <v>143</v>
      </c>
    </row>
    <row r="153" spans="1:4" x14ac:dyDescent="0.15">
      <c r="A153" s="7">
        <v>14</v>
      </c>
      <c r="B153" s="127" t="s">
        <v>131</v>
      </c>
      <c r="C153" s="84" t="s">
        <v>131</v>
      </c>
      <c r="D153" s="53"/>
    </row>
    <row r="154" spans="1:4" x14ac:dyDescent="0.15">
      <c r="A154" s="7">
        <v>14</v>
      </c>
      <c r="B154" s="127" t="s">
        <v>155</v>
      </c>
      <c r="D154" s="53"/>
    </row>
    <row r="155" spans="1:4" x14ac:dyDescent="0.15">
      <c r="A155" s="7">
        <v>14</v>
      </c>
      <c r="B155" s="127" t="s">
        <v>156</v>
      </c>
    </row>
    <row r="156" spans="1:4" x14ac:dyDescent="0.15">
      <c r="A156" s="7">
        <v>14</v>
      </c>
      <c r="B156" s="127" t="s">
        <v>144</v>
      </c>
      <c r="D156" s="53"/>
    </row>
    <row r="157" spans="1:4" x14ac:dyDescent="0.15">
      <c r="A157" s="7">
        <v>14</v>
      </c>
      <c r="B157" s="127" t="s">
        <v>137</v>
      </c>
      <c r="D157" s="53"/>
    </row>
    <row r="158" spans="1:4" x14ac:dyDescent="0.15">
      <c r="A158" s="7">
        <v>14</v>
      </c>
      <c r="B158" s="127" t="s">
        <v>139</v>
      </c>
      <c r="C158" s="19" t="s">
        <v>140</v>
      </c>
    </row>
    <row r="159" spans="1:4" x14ac:dyDescent="0.15">
      <c r="A159" s="7">
        <v>14</v>
      </c>
      <c r="B159" s="127" t="s">
        <v>145</v>
      </c>
      <c r="C159" s="86" t="s">
        <v>143</v>
      </c>
    </row>
    <row r="160" spans="1:4" x14ac:dyDescent="0.15">
      <c r="A160" s="7">
        <v>14</v>
      </c>
      <c r="B160" s="127" t="s">
        <v>131</v>
      </c>
      <c r="C160" s="19" t="s">
        <v>146</v>
      </c>
      <c r="D160" s="53"/>
    </row>
    <row r="161" spans="1:4" x14ac:dyDescent="0.15">
      <c r="A161" s="7">
        <v>14</v>
      </c>
      <c r="B161" s="127" t="s">
        <v>157</v>
      </c>
      <c r="D161" s="53"/>
    </row>
    <row r="162" spans="1:4" x14ac:dyDescent="0.15">
      <c r="A162" s="7">
        <v>14</v>
      </c>
      <c r="B162" s="127" t="s">
        <v>147</v>
      </c>
      <c r="D162" s="53"/>
    </row>
    <row r="163" spans="1:4" x14ac:dyDescent="0.15">
      <c r="A163" s="7">
        <v>14</v>
      </c>
      <c r="B163" s="127" t="s">
        <v>148</v>
      </c>
      <c r="D163" s="53"/>
    </row>
    <row r="164" spans="1:4" x14ac:dyDescent="0.15">
      <c r="A164" s="7">
        <v>14</v>
      </c>
      <c r="B164" s="127" t="s">
        <v>149</v>
      </c>
      <c r="D164" s="53"/>
    </row>
    <row r="165" spans="1:4" x14ac:dyDescent="0.15">
      <c r="A165" s="7">
        <v>14</v>
      </c>
      <c r="B165" s="127" t="s">
        <v>139</v>
      </c>
    </row>
    <row r="166" spans="1:4" x14ac:dyDescent="0.15">
      <c r="A166" s="7">
        <v>14</v>
      </c>
      <c r="B166" s="127" t="s">
        <v>150</v>
      </c>
      <c r="D166" s="53"/>
    </row>
    <row r="167" spans="1:4" x14ac:dyDescent="0.15">
      <c r="A167" s="7">
        <v>14</v>
      </c>
      <c r="B167" s="127" t="s">
        <v>142</v>
      </c>
      <c r="C167" s="86" t="s">
        <v>143</v>
      </c>
    </row>
    <row r="168" spans="1:4" x14ac:dyDescent="0.15">
      <c r="A168" s="7">
        <v>14</v>
      </c>
      <c r="B168" s="127" t="s">
        <v>158</v>
      </c>
      <c r="C168" s="19" t="s">
        <v>146</v>
      </c>
      <c r="D168" s="53"/>
    </row>
    <row r="170" spans="1:4" x14ac:dyDescent="0.15">
      <c r="B170" s="82"/>
    </row>
  </sheetData>
  <mergeCells count="2">
    <mergeCell ref="A1:C1"/>
    <mergeCell ref="D11:E13"/>
  </mergeCells>
  <phoneticPr fontId="22" type="noConversion"/>
  <conditionalFormatting sqref="B18">
    <cfRule type="beginsWith" dxfId="23" priority="1" operator="beginsWith" text="#">
      <formula>LEFT(B18,LEN("#"))="#"</formula>
    </cfRule>
  </conditionalFormatting>
  <dataValidations xWindow="408" yWindow="282" count="3">
    <dataValidation type="list" allowBlank="1" showInputMessage="1" prompt="Time Out Value._x000a_Default setting is 2 sec." sqref="C2">
      <formula1>"2,3,4,5,10"</formula1>
    </dataValidation>
    <dataValidation type="list" allowBlank="1" showInputMessage="1" showErrorMessage="1" errorTitle="Invalid Input" error="Please input Y or N ._x000a_" prompt="Y: Error will be queried after each command is executed._x000a_N: Do not query error each step. Some times query error will cause trouble." sqref="C3">
      <formula1>"Y,N"</formula1>
    </dataValidation>
    <dataValidation type="list" allowBlank="1" showInputMessage="1" showErrorMessage="1" errorTitle="Invalid Input" error="Please input COMP, SCPI or Auto !_x000a_" prompt="COMP: Err? will be sent to query error info._x000a_SCPI: SYST:Err? will be sent to query error info._x000a_Auto: Err? will be sent. IF no return THEN SYST:Err?" sqref="C4">
      <formula1>"COMP,SCPI,Auto"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lblRepeatStep">
          <controlPr defaultSize="0" disabled="1" autoLine="0" r:id="rId5">
            <anchor moveWithCells="1">
              <from>
                <xdr:col>1</xdr:col>
                <xdr:colOff>3133725</xdr:colOff>
                <xdr:row>11</xdr:row>
                <xdr:rowOff>171450</xdr:rowOff>
              </from>
              <to>
                <xdr:col>1</xdr:col>
                <xdr:colOff>3438525</xdr:colOff>
                <xdr:row>12</xdr:row>
                <xdr:rowOff>133350</xdr:rowOff>
              </to>
            </anchor>
          </controlPr>
        </control>
      </mc:Choice>
      <mc:Fallback>
        <control shapeId="1030" r:id="rId4" name="lblRepeatStep"/>
      </mc:Fallback>
    </mc:AlternateContent>
    <mc:AlternateContent xmlns:mc="http://schemas.openxmlformats.org/markup-compatibility/2006">
      <mc:Choice Requires="x14">
        <control shapeId="1029" r:id="rId6" name="lblNextStep">
          <controlPr defaultSize="0" disabled="1" autoLine="0" r:id="rId7">
            <anchor moveWithCells="1">
              <from>
                <xdr:col>1</xdr:col>
                <xdr:colOff>2409825</xdr:colOff>
                <xdr:row>11</xdr:row>
                <xdr:rowOff>171450</xdr:rowOff>
              </from>
              <to>
                <xdr:col>1</xdr:col>
                <xdr:colOff>2562225</xdr:colOff>
                <xdr:row>12</xdr:row>
                <xdr:rowOff>133350</xdr:rowOff>
              </to>
            </anchor>
          </controlPr>
        </control>
      </mc:Choice>
      <mc:Fallback>
        <control shapeId="1029" r:id="rId6" name="lblNextStep"/>
      </mc:Fallback>
    </mc:AlternateContent>
    <mc:AlternateContent xmlns:mc="http://schemas.openxmlformats.org/markup-compatibility/2006">
      <mc:Choice Requires="x14">
        <control shapeId="1028" r:id="rId8" name="lblStartFrom">
          <controlPr defaultSize="0" disabled="1" autoLine="0" r:id="rId9">
            <anchor moveWithCells="1">
              <from>
                <xdr:col>1</xdr:col>
                <xdr:colOff>790575</xdr:colOff>
                <xdr:row>11</xdr:row>
                <xdr:rowOff>171450</xdr:rowOff>
              </from>
              <to>
                <xdr:col>1</xdr:col>
                <xdr:colOff>942975</xdr:colOff>
                <xdr:row>12</xdr:row>
                <xdr:rowOff>133350</xdr:rowOff>
              </to>
            </anchor>
          </controlPr>
        </control>
      </mc:Choice>
      <mc:Fallback>
        <control shapeId="1028" r:id="rId8" name="lblStartFrom"/>
      </mc:Fallback>
    </mc:AlternateContent>
    <mc:AlternateContent xmlns:mc="http://schemas.openxmlformats.org/markup-compatibility/2006">
      <mc:Choice Requires="x14">
        <control shapeId="1027" r:id="rId10" name="lblGo">
          <controlPr defaultSize="0" disabled="1" autoLine="0" r:id="rId11">
            <anchor moveWithCells="1">
              <from>
                <xdr:col>0</xdr:col>
                <xdr:colOff>323850</xdr:colOff>
                <xdr:row>11</xdr:row>
                <xdr:rowOff>171450</xdr:rowOff>
              </from>
              <to>
                <xdr:col>1</xdr:col>
                <xdr:colOff>28575</xdr:colOff>
                <xdr:row>12</xdr:row>
                <xdr:rowOff>133350</xdr:rowOff>
              </to>
            </anchor>
          </controlPr>
        </control>
      </mc:Choice>
      <mc:Fallback>
        <control shapeId="1027" r:id="rId10" name="lblG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1"/>
  <sheetViews>
    <sheetView zoomScaleNormal="100" workbookViewId="0">
      <selection activeCell="Q7" sqref="Q7"/>
    </sheetView>
  </sheetViews>
  <sheetFormatPr defaultRowHeight="13.5" x14ac:dyDescent="0.15"/>
  <cols>
    <col min="1" max="1" width="17.875" style="70" customWidth="1"/>
    <col min="2" max="2" width="12" style="70" customWidth="1"/>
    <col min="3" max="3" width="8.625" style="70" bestFit="1" customWidth="1"/>
    <col min="4" max="4" width="4.25" style="70" customWidth="1"/>
    <col min="5" max="5" width="19.25" style="70" bestFit="1" customWidth="1"/>
    <col min="6" max="6" width="9.125" style="70"/>
    <col min="7" max="7" width="3.375" style="70" customWidth="1"/>
    <col min="8" max="8" width="10.75" style="70" customWidth="1"/>
    <col min="9" max="9" width="10.375" style="70" customWidth="1"/>
    <col min="10" max="10" width="2.75" style="70" customWidth="1"/>
    <col min="11" max="11" width="9.75" style="70" customWidth="1"/>
    <col min="12" max="12" width="11.375" style="70" customWidth="1"/>
    <col min="13" max="13" width="2.875" customWidth="1"/>
    <col min="14" max="14" width="10.625" bestFit="1" customWidth="1"/>
    <col min="15" max="15" width="8.125" bestFit="1" customWidth="1"/>
    <col min="16" max="16" width="7.625" bestFit="1" customWidth="1"/>
    <col min="17" max="17" width="6.875" customWidth="1"/>
  </cols>
  <sheetData>
    <row r="1" spans="1:17" x14ac:dyDescent="0.15">
      <c r="A1" s="110" t="s">
        <v>124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</row>
    <row r="2" spans="1:17" ht="22.5" customHeight="1" x14ac:dyDescent="0.15">
      <c r="A2" s="113" t="str">
        <f>GPIB_Command_Tester!D17</f>
        <v>Agilent Technologies,E6607A,MY51285985,A.12.75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</row>
    <row r="3" spans="1:17" ht="36" customHeight="1" x14ac:dyDescent="0.15">
      <c r="A3" s="121" t="s">
        <v>165</v>
      </c>
      <c r="B3" s="121"/>
      <c r="C3" s="95" t="s">
        <v>76</v>
      </c>
      <c r="E3" s="121" t="s">
        <v>38</v>
      </c>
      <c r="F3" s="121"/>
      <c r="H3" s="125" t="s">
        <v>27</v>
      </c>
      <c r="I3" s="125"/>
      <c r="J3" s="125"/>
      <c r="K3" s="125"/>
      <c r="L3" s="125"/>
      <c r="N3" s="112" t="s">
        <v>159</v>
      </c>
      <c r="O3" s="112"/>
      <c r="P3" s="112"/>
      <c r="Q3" s="112"/>
    </row>
    <row r="4" spans="1:17" x14ac:dyDescent="0.15">
      <c r="A4" s="114" t="s">
        <v>63</v>
      </c>
      <c r="B4" s="104" t="str">
        <f>GPIB_Command_Tester!D19</f>
        <v>+0,"No error"</v>
      </c>
      <c r="C4" s="104">
        <f>COUNTIF(B4,"*No error*")</f>
        <v>1</v>
      </c>
      <c r="D4" s="91"/>
      <c r="E4" s="74" t="s">
        <v>28</v>
      </c>
      <c r="F4" s="74" t="s">
        <v>29</v>
      </c>
      <c r="H4" s="74" t="s">
        <v>17</v>
      </c>
      <c r="I4" s="74" t="s">
        <v>25</v>
      </c>
      <c r="J4" s="74"/>
      <c r="K4" s="74" t="s">
        <v>17</v>
      </c>
      <c r="L4" s="74" t="s">
        <v>25</v>
      </c>
      <c r="N4" s="89" t="s">
        <v>17</v>
      </c>
      <c r="O4" s="89" t="s">
        <v>72</v>
      </c>
      <c r="P4" s="89" t="s">
        <v>73</v>
      </c>
      <c r="Q4" s="90" t="s">
        <v>71</v>
      </c>
    </row>
    <row r="5" spans="1:17" x14ac:dyDescent="0.15">
      <c r="A5" s="114"/>
      <c r="B5" s="104"/>
      <c r="C5" s="104"/>
      <c r="D5" s="91"/>
      <c r="E5" s="74">
        <v>0</v>
      </c>
      <c r="F5" s="75">
        <f>GPIB_Command_Tester!D26</f>
        <v>-5.0917553900000003</v>
      </c>
      <c r="H5" s="77">
        <v>100</v>
      </c>
      <c r="I5" s="79">
        <f>GPIB_Command_Tester!D43</f>
        <v>-88.849884029999998</v>
      </c>
      <c r="J5" s="80"/>
      <c r="K5" s="78">
        <f>H22+100</f>
        <v>1900</v>
      </c>
      <c r="L5" s="81">
        <f>GPIB_Command_Tester!D79</f>
        <v>0</v>
      </c>
      <c r="N5" s="89">
        <v>100</v>
      </c>
      <c r="O5" s="75">
        <f>GPIB_Command_Tester!D134</f>
        <v>0</v>
      </c>
      <c r="P5" s="75">
        <f>I5</f>
        <v>-88.849884029999998</v>
      </c>
      <c r="Q5" s="75">
        <f>P5-O5</f>
        <v>-88.849884029999998</v>
      </c>
    </row>
    <row r="6" spans="1:17" x14ac:dyDescent="0.15">
      <c r="A6" s="114" t="s">
        <v>64</v>
      </c>
      <c r="B6" s="122" t="str">
        <f>GPIB_Command_Tester!D20</f>
        <v xml:space="preserve">#3640Agilent Technologies
Product#: E6607A
Serial#: MY51285985
Firmware Revision:A.12.75
Hostname: A-E6607A-85985
IP Addr: 127.0.0.1
Host ID: E6607A,MY51285985
E6607A-221: (1.0.0.0)
E6607A-222: (1.0.0.0)
E6607A-250: (1.0.0.0)
E6607A-503: (1.0.0.0)
E6607A-B25: (1.0.0.0)
E6607A-B40: (1.0.0.0)
E6607A-EA3: (1.0.0.0)
E6607A-P03: (1.0.0.0)
E6607A-RFO: (1.0.0.0)
E6607A-SRC: (1.0.0.0)
N7601B-8FP: (1.0.0.0)
N7601B-FFP: (1.0.0.0)
N7601B-SFP: (1.0.0.0)
U9060A-2FP: (1.0.0.0)
U9065A-2FP: (1.0.0.0)
U9071A-2FP: (1.0.0.0)
U9072A-2FP: (1.0.0.0)
U9073A-1FP: (1.0.0.0)
U9076A-1FP: (1.0.0.0)
U9079A-1FP: (1.0.0.0)
U9080A-1FP: (1.0.0.0)
U9082A-1FP: (1.0.0.0)
</v>
      </c>
      <c r="C6" s="123">
        <f>COUNTIF(B6,"*A.12.75*") * COUNTIF(B6,"*U9079A*") * COUNTIF(B6,"*U9082A*") * COUNTIF(B6,"*U9080A*")</f>
        <v>1</v>
      </c>
      <c r="D6" s="92"/>
      <c r="E6" s="74">
        <v>2</v>
      </c>
      <c r="F6" s="75">
        <f>GPIB_Command_Tester!D27</f>
        <v>-5.064416885</v>
      </c>
      <c r="H6" s="74">
        <f>H5+100</f>
        <v>200</v>
      </c>
      <c r="I6" s="79">
        <f>GPIB_Command_Tester!D45</f>
        <v>0</v>
      </c>
      <c r="J6" s="80"/>
      <c r="K6" s="76">
        <f t="shared" ref="K6:K22" si="0">K5+100</f>
        <v>2000</v>
      </c>
      <c r="L6" s="81">
        <f>GPIB_Command_Tester!D81</f>
        <v>0</v>
      </c>
      <c r="N6" s="89">
        <v>1000</v>
      </c>
      <c r="O6" s="75">
        <f>GPIB_Command_Tester!D136</f>
        <v>0</v>
      </c>
      <c r="P6" s="75">
        <f>I14</f>
        <v>0</v>
      </c>
      <c r="Q6" s="75">
        <f t="shared" ref="Q6:Q7" si="1">P6-O6</f>
        <v>0</v>
      </c>
    </row>
    <row r="7" spans="1:17" x14ac:dyDescent="0.15">
      <c r="A7" s="114"/>
      <c r="B7" s="104"/>
      <c r="C7" s="123"/>
      <c r="D7" s="92"/>
      <c r="E7" s="74">
        <v>4</v>
      </c>
      <c r="F7" s="75">
        <f>GPIB_Command_Tester!D28</f>
        <v>-5.0616073610000001</v>
      </c>
      <c r="H7" s="74">
        <f t="shared" ref="H7:H22" si="2">H6+100</f>
        <v>300</v>
      </c>
      <c r="I7" s="79">
        <f>GPIB_Command_Tester!D47</f>
        <v>0</v>
      </c>
      <c r="J7" s="80"/>
      <c r="K7" s="76">
        <f t="shared" si="0"/>
        <v>2100</v>
      </c>
      <c r="L7" s="81">
        <f>GPIB_Command_Tester!D83</f>
        <v>0</v>
      </c>
      <c r="N7" s="89">
        <v>2000</v>
      </c>
      <c r="O7" s="75">
        <f>GPIB_Command_Tester!D138</f>
        <v>0</v>
      </c>
      <c r="P7" s="75">
        <f>L6</f>
        <v>0</v>
      </c>
      <c r="Q7" s="75">
        <f t="shared" si="1"/>
        <v>0</v>
      </c>
    </row>
    <row r="8" spans="1:17" ht="18.75" x14ac:dyDescent="0.15">
      <c r="A8" s="114" t="s">
        <v>65</v>
      </c>
      <c r="B8" s="122" t="str">
        <f>GPIB_Command_Tester!D21</f>
        <v>"BASIC,LTE,CDMA1XEV,SEQAN,EDGEGSM,WCDMA,CDMA2K,TDSCDMA,LTETDD"</v>
      </c>
      <c r="C8" s="123">
        <f>COUNTIF(B8,"*BASIC*") * COUNTIF(B8,"*WCDMA*") * COUNTIF(B8,"*EDGEGSM*") * COUNTIF(B8,"*SEQAN*") * COUNTIF(B8,"*CDMA2K*") * COUNTIF(B8,"*CDMA1XEV*") * COUNTIF(B8,"*LTE*") * COUNTIF(B8,"*TDSCDMA*") * COUNTIF(B8,"*LTETDD*")</f>
        <v>1</v>
      </c>
      <c r="D8" s="92"/>
      <c r="E8" s="74">
        <v>6</v>
      </c>
      <c r="F8" s="75">
        <f>GPIB_Command_Tester!D29</f>
        <v>-5.0374898909999999</v>
      </c>
      <c r="H8" s="74">
        <f t="shared" si="2"/>
        <v>400</v>
      </c>
      <c r="I8" s="79">
        <f>GPIB_Command_Tester!D49</f>
        <v>0</v>
      </c>
      <c r="J8" s="80"/>
      <c r="K8" s="76">
        <f t="shared" si="0"/>
        <v>2200</v>
      </c>
      <c r="L8" s="81">
        <f>GPIB_Command_Tester!D85</f>
        <v>0</v>
      </c>
      <c r="N8" s="103" t="s">
        <v>160</v>
      </c>
      <c r="O8" s="103"/>
      <c r="P8" s="103"/>
      <c r="Q8" s="103"/>
    </row>
    <row r="9" spans="1:17" x14ac:dyDescent="0.15">
      <c r="A9" s="114"/>
      <c r="B9" s="104"/>
      <c r="C9" s="123"/>
      <c r="D9" s="92"/>
      <c r="E9" s="74">
        <v>10</v>
      </c>
      <c r="F9" s="75">
        <f>GPIB_Command_Tester!D30</f>
        <v>-5.0548658370000004</v>
      </c>
      <c r="H9" s="74">
        <f t="shared" si="2"/>
        <v>500</v>
      </c>
      <c r="I9" s="79">
        <f>GPIB_Command_Tester!D51</f>
        <v>0</v>
      </c>
      <c r="J9" s="80"/>
      <c r="K9" s="76">
        <f t="shared" si="0"/>
        <v>2300</v>
      </c>
      <c r="L9" s="81">
        <f>GPIB_Command_Tester!D87</f>
        <v>0</v>
      </c>
      <c r="N9" s="104" t="s">
        <v>17</v>
      </c>
      <c r="O9" s="104"/>
      <c r="P9" s="104" t="s">
        <v>25</v>
      </c>
      <c r="Q9" s="104"/>
    </row>
    <row r="10" spans="1:17" x14ac:dyDescent="0.15">
      <c r="A10" s="114" t="s">
        <v>66</v>
      </c>
      <c r="B10" s="122" t="str">
        <f>GPIB_Command_Tester!D22</f>
        <v>"GSM_MCS1.WFM","GSM_MCS9_PN15.WFM","WCDMA_ILPC_PN9.WFM","EVDO_2010_10_29.WFM","RMC64K_16Frames.WFM","MCS4_SLOT34_BER.WFM","DCHSDPA_10M.wfm","10M_1RB_0SRB_16QAM.wfm","10M_1RB_0SRB_QPSK.wfm","10M_1RB_24SRB_QPSK.wfm","10M_1RB_49SRB_QPSK.wfm","10M_6RB_0SRB_QPSK.wfm","10M_6RB_22SRB_QPSK.wfm","10M_6RB_44SRB_QPSK.wfm","10M_12RB_0SRB_16QAM.wfm","10M_50RB_0SRB_16QAM.wfm","10M_50RB_0SRB_QPSK.wfm","C2K_onechannel.wfm","GMSK_RFMODE.WFM","LTETDD_10M_MCS5_CFG1_4_AGG8_2.WFM","TDSCDMA_12.2KRMC_CLPC.WFM","TDSCDMA_12.2KRMC_QC_2.WFM","GPS_SV27.wfm","C2K_RC1_FULL_4Superframes.wfm","Intel-GSM-CS4-400bit.wfm","QC_LTE_TDD_10MHz_2015.wfm","QC_WCDMA_ALLUP_2016.wfm","TCHSlot3_new.wfm","WCDMA_NS.wfm","QC_LTEFDD_5M_2015.wfm"</v>
      </c>
      <c r="C10" s="123">
        <f>COUNTIF(B10,"*Intel-GSM-CS4-400bit*") * COUNTIF(B10,"*WCDMA_NS*") * COUNTIF(B10,"*10M_50RB_0SRB_QPSK*") * COUNTIF(B10,"*QC_LTEFDD_5M_2015*") * COUNTIF(B10,"*QC_LTE_TDD_10MHz_2015*") * COUNTIF(B10,"*TDSCDMA_12.2KRMC_QC_2*") * COUNTIF(B10,"*GPS_SV27*") * COUNTIF(B10,"*TCHSlot3_new*") * COUNTIF(B10,"*10M_6RB_44SRB_QPSK*") * COUNTIF(B10,"*10M_6RB_22SRB_QPSK*") * COUNTIF(B10,"*MCS4_SLOT34_BER*") * COUNTIF(B10,"*QC_WCDMA_ALLUP_2016*") * COUNTIF(B10,"*C2K_RC1_FULL_4Superframes*")</f>
        <v>1</v>
      </c>
      <c r="D10" s="97"/>
      <c r="E10" s="74">
        <v>20</v>
      </c>
      <c r="F10" s="75">
        <f>GPIB_Command_Tester!D31</f>
        <v>-5.0504007340000001</v>
      </c>
      <c r="H10" s="74">
        <f t="shared" si="2"/>
        <v>600</v>
      </c>
      <c r="I10" s="79">
        <f>GPIB_Command_Tester!D53</f>
        <v>0</v>
      </c>
      <c r="J10" s="80"/>
      <c r="K10" s="76">
        <f t="shared" si="0"/>
        <v>2400</v>
      </c>
      <c r="L10" s="81">
        <f>GPIB_Command_Tester!D89</f>
        <v>0</v>
      </c>
      <c r="N10" s="104">
        <v>100</v>
      </c>
      <c r="O10" s="104"/>
      <c r="P10" s="109">
        <f>GPIB_Command_Tester!D117</f>
        <v>0</v>
      </c>
      <c r="Q10" s="109"/>
    </row>
    <row r="11" spans="1:17" x14ac:dyDescent="0.15">
      <c r="A11" s="114"/>
      <c r="B11" s="104"/>
      <c r="C11" s="123"/>
      <c r="D11" s="97"/>
      <c r="E11" s="74">
        <v>30</v>
      </c>
      <c r="F11" s="75">
        <f>GPIB_Command_Tester!D32</f>
        <v>-5.0461187360000004</v>
      </c>
      <c r="H11" s="74">
        <f t="shared" si="2"/>
        <v>700</v>
      </c>
      <c r="I11" s="79">
        <f>GPIB_Command_Tester!D55</f>
        <v>0</v>
      </c>
      <c r="J11" s="80"/>
      <c r="K11" s="76">
        <f t="shared" si="0"/>
        <v>2500</v>
      </c>
      <c r="L11" s="81">
        <f>GPIB_Command_Tester!D91</f>
        <v>0</v>
      </c>
      <c r="N11" s="107">
        <v>500</v>
      </c>
      <c r="O11" s="108"/>
      <c r="P11" s="105">
        <f>GPIB_Command_Tester!D119</f>
        <v>0</v>
      </c>
      <c r="Q11" s="106"/>
    </row>
    <row r="12" spans="1:17" ht="18" customHeight="1" x14ac:dyDescent="0.15">
      <c r="A12" s="124" t="s">
        <v>127</v>
      </c>
      <c r="B12" s="124" t="str">
        <f>GPIB_Command_Tester!D18</f>
        <v>4688736256,18235117568,"10M_12RB_0SRB_16QAM.wfm,,12288368","10M_1RB_0SRB_16QAM.wfm,,12288368","10M_1RB_0SRB_QPSK.wfm,,12288368","10M_1RB_24SRB_QPSK.wfm,,12288368","10M_1RB_49SRB_QPSK.wfm,,12288368","10M_50RB_0SRB_16QAM.wfm,,12288368","10M_50RB_0SRB_QPSK.wfm,,12288368","10M_6RB_0SRB_QPSK.wfm,,12288368","10M_6RB_22SRB_QPSK.wfm,,12288368","10M_6RB_44SRB_QPSK.wfm,,12288368","c2k-rc1-full.HEADER,,138","c2k-rc1-full.WAVEFORM,,4718592","C2K_onechannel.wfm,,328064","C2K_RC1_FULL_4Superframes.wfm,,11796976","CDMA2K_9CHAN.WFM,,1310960","CDMA2K_PILOT.WFM,,655616","CW_TOI_2TONE.WFM,,2816","DCHSDPA_10M.wfm,,3072464","EDGE_1C_BURST.WFM,,1250320","EDGE_BURST.WFM,,9750192","EVDO_2010_10_29.WFM,,31457760","glonass-EXT-07Jun2011.bin,,122640000","GMSK_RFMODE.WFM,,325360","GPS_SV27.wfm,,20000336","GSM_1C_BURST.WFM,,1250320","GSM_BURST.WFM,,9750192","GSM_MCS1.WFM,,16575424","GSM_MCS9_PN15.WFM,,650432","Intel-GSM-CS4-400bit.wfm,,33150432","LTETDD_10M_MCS5_CFG1_4_AGG8_2.WFM,,10752368","MCS4_SLOT34_BER.WFM,,637936","MT_31TONES_2MHZSPC.WFM,,4256","MT_7TONES_2KHZSPC.WFM,,6560","multitone_4.header,,229","MultiTone_4.WAVEFORM,,250000","Nullwaveform.bin,,40000","null_wfm2.txt,,14","QAM16.WFM,,327904","QC_LTEFDD_5M_2015.wfm,,6144368","QC_LTE_TDD_10MHz_2015.wfm,,10752368","QC_WCDMA_ALLUP_2016.wfm,,3072464","QPSK.WFM,,327872","RMC64K_16Frames.WFM,,9216464","SINE_TEST.WFM,,4288","TCHSlot3_new.wfm,,8287936","TDSCDMA_12.2KRMC_CLPC.WFM,,15360416","TDSCDMA_12.2KRMC_QC_2.WFM,,1024416","TDSCDMA_RFMode.wfm,,327920","WCDMA_1DPCH.WFM,,1536192","WCDMA_ILPC_PN9.WFM,,3264464","WCDMA_NS.wfm,,4608464","WCDMA_TM1_64DPCH_1C.WFM,,1536224","WCDMA_TM1_64DPCH_4C.WFM,,1344224","WLAN20MHZ54M64QAM.WFM,,112240"</v>
      </c>
      <c r="C12" s="123">
        <f>COUNTIF(B12,"*Intel-GSM-CS4-400bit*") * COUNTIF(B12,"*WCDMA_NS*") * COUNTIF(B12,"*10M_50RB_0SRB_QPSK*") * COUNTIF(B12,"*QC_LTEFDD_5M_2015*") * COUNTIF(B12,"*QC_LTE_TDD_10MHz_2015*") * COUNTIF(B12,"*TDSCDMA_12.2KRMC_QC_2*") * COUNTIF(B12,"*GPS_SV27*") * COUNTIF(B12,"*TCHSlot3_new*") * COUNTIF(B12,"*10M_6RB_44SRB_QPSK*") * COUNTIF(B12,"*10M_6RB_22SRB_QPSK*") * COUNTIF(B12,"*MCS4_SLOT34_BER*") * COUNTIF(B12,"*QC_WCDMA_ALLUP_2016*") * COUNTIF(B12,"*C2K_RC1_FULL_4Superframes*")</f>
        <v>1</v>
      </c>
      <c r="E12" s="115"/>
      <c r="F12" s="116"/>
      <c r="H12" s="74">
        <f t="shared" si="2"/>
        <v>800</v>
      </c>
      <c r="I12" s="79">
        <f>GPIB_Command_Tester!D57</f>
        <v>0</v>
      </c>
      <c r="J12" s="80"/>
      <c r="K12" s="76">
        <f t="shared" si="0"/>
        <v>2600</v>
      </c>
      <c r="L12" s="81">
        <f>GPIB_Command_Tester!D93</f>
        <v>0</v>
      </c>
      <c r="N12" s="107">
        <v>1000</v>
      </c>
      <c r="O12" s="108"/>
      <c r="P12" s="105">
        <f>GPIB_Command_Tester!D121</f>
        <v>0</v>
      </c>
      <c r="Q12" s="106"/>
    </row>
    <row r="13" spans="1:17" ht="15" customHeight="1" x14ac:dyDescent="0.15">
      <c r="A13" s="124"/>
      <c r="B13" s="124"/>
      <c r="C13" s="123"/>
      <c r="E13" s="117"/>
      <c r="F13" s="118"/>
      <c r="H13" s="74">
        <f t="shared" si="2"/>
        <v>900</v>
      </c>
      <c r="I13" s="79">
        <f>GPIB_Command_Tester!D59</f>
        <v>0</v>
      </c>
      <c r="J13" s="80"/>
      <c r="K13" s="76">
        <f t="shared" si="0"/>
        <v>2700</v>
      </c>
      <c r="L13" s="81">
        <f>GPIB_Command_Tester!D95</f>
        <v>0</v>
      </c>
      <c r="N13" s="107">
        <v>1500</v>
      </c>
      <c r="O13" s="108"/>
      <c r="P13" s="105">
        <f>GPIB_Command_Tester!D123</f>
        <v>0</v>
      </c>
      <c r="Q13" s="106"/>
    </row>
    <row r="14" spans="1:17" x14ac:dyDescent="0.15">
      <c r="E14" s="119"/>
      <c r="F14" s="120"/>
      <c r="H14" s="74">
        <f t="shared" si="2"/>
        <v>1000</v>
      </c>
      <c r="I14" s="79">
        <f>GPIB_Command_Tester!D61</f>
        <v>0</v>
      </c>
      <c r="J14" s="80"/>
      <c r="K14" s="76">
        <f t="shared" si="0"/>
        <v>2800</v>
      </c>
      <c r="L14" s="81">
        <f>GPIB_Command_Tester!D97</f>
        <v>0</v>
      </c>
      <c r="N14" s="107">
        <v>2000</v>
      </c>
      <c r="O14" s="108"/>
      <c r="P14" s="105">
        <f>GPIB_Command_Tester!D125</f>
        <v>0</v>
      </c>
      <c r="Q14" s="106"/>
    </row>
    <row r="15" spans="1:17" x14ac:dyDescent="0.15">
      <c r="E15" s="114" t="s">
        <v>37</v>
      </c>
      <c r="F15" s="114"/>
      <c r="H15" s="74">
        <f t="shared" si="2"/>
        <v>1100</v>
      </c>
      <c r="I15" s="79">
        <f>GPIB_Command_Tester!D63</f>
        <v>0</v>
      </c>
      <c r="J15" s="80"/>
      <c r="K15" s="76">
        <f t="shared" si="0"/>
        <v>2900</v>
      </c>
      <c r="L15" s="81">
        <f>GPIB_Command_Tester!D99</f>
        <v>0</v>
      </c>
      <c r="N15" s="107">
        <v>2500</v>
      </c>
      <c r="O15" s="108"/>
      <c r="P15" s="105">
        <f>GPIB_Command_Tester!D127</f>
        <v>0</v>
      </c>
      <c r="Q15" s="106"/>
    </row>
    <row r="16" spans="1:17" x14ac:dyDescent="0.15">
      <c r="E16" s="74" t="s">
        <v>30</v>
      </c>
      <c r="F16" s="74" t="s">
        <v>29</v>
      </c>
      <c r="H16" s="74">
        <f t="shared" si="2"/>
        <v>1200</v>
      </c>
      <c r="I16" s="79">
        <f>GPIB_Command_Tester!D65</f>
        <v>0</v>
      </c>
      <c r="J16" s="80"/>
      <c r="K16" s="76">
        <f t="shared" si="0"/>
        <v>3000</v>
      </c>
      <c r="L16" s="81">
        <f>GPIB_Command_Tester!D101</f>
        <v>0</v>
      </c>
      <c r="N16" s="107">
        <v>3000</v>
      </c>
      <c r="O16" s="108"/>
      <c r="P16" s="105">
        <f>GPIB_Command_Tester!D129</f>
        <v>0</v>
      </c>
      <c r="Q16" s="106"/>
    </row>
    <row r="17" spans="5:17" x14ac:dyDescent="0.15">
      <c r="E17" s="74" t="s">
        <v>32</v>
      </c>
      <c r="F17" s="75">
        <f>GPIB_Command_Tester!D33</f>
        <v>-5.0290131569999996</v>
      </c>
      <c r="H17" s="74">
        <f t="shared" si="2"/>
        <v>1300</v>
      </c>
      <c r="I17" s="79">
        <f>GPIB_Command_Tester!D67</f>
        <v>0</v>
      </c>
      <c r="J17" s="80"/>
      <c r="K17" s="76">
        <f t="shared" si="0"/>
        <v>3100</v>
      </c>
      <c r="L17" s="81">
        <f>GPIB_Command_Tester!D103</f>
        <v>0</v>
      </c>
      <c r="N17" s="107">
        <v>3500</v>
      </c>
      <c r="O17" s="108"/>
      <c r="P17" s="105">
        <f>GPIB_Command_Tester!D131</f>
        <v>0</v>
      </c>
      <c r="Q17" s="106"/>
    </row>
    <row r="18" spans="5:17" ht="18.75" x14ac:dyDescent="0.15">
      <c r="E18" s="74" t="s">
        <v>33</v>
      </c>
      <c r="F18" s="75">
        <f>GPIB_Command_Tester!D34</f>
        <v>-5.0271883009999998</v>
      </c>
      <c r="H18" s="74">
        <f t="shared" si="2"/>
        <v>1400</v>
      </c>
      <c r="I18" s="79">
        <f>GPIB_Command_Tester!D69</f>
        <v>0</v>
      </c>
      <c r="J18" s="80"/>
      <c r="K18" s="76">
        <f t="shared" si="0"/>
        <v>3200</v>
      </c>
      <c r="L18" s="81">
        <f>GPIB_Command_Tester!D105</f>
        <v>0</v>
      </c>
      <c r="N18" s="103" t="s">
        <v>161</v>
      </c>
      <c r="O18" s="103"/>
      <c r="P18" s="103"/>
      <c r="Q18" s="103"/>
    </row>
    <row r="19" spans="5:17" x14ac:dyDescent="0.15">
      <c r="E19" s="74" t="s">
        <v>34</v>
      </c>
      <c r="F19" s="75">
        <f>GPIB_Command_Tester!D35</f>
        <v>-5.0265860560000002</v>
      </c>
      <c r="H19" s="74">
        <f t="shared" si="2"/>
        <v>1500</v>
      </c>
      <c r="I19" s="79">
        <f>GPIB_Command_Tester!D71</f>
        <v>0</v>
      </c>
      <c r="J19" s="80"/>
      <c r="K19" s="76">
        <f t="shared" si="0"/>
        <v>3300</v>
      </c>
      <c r="L19" s="81">
        <f>GPIB_Command_Tester!D107</f>
        <v>0</v>
      </c>
      <c r="N19" s="104" t="s">
        <v>162</v>
      </c>
      <c r="O19" s="104"/>
      <c r="P19" s="104">
        <f>GPIB_Command_Tester!D152</f>
        <v>0</v>
      </c>
      <c r="Q19" s="104"/>
    </row>
    <row r="20" spans="5:17" x14ac:dyDescent="0.15">
      <c r="E20" s="74" t="s">
        <v>31</v>
      </c>
      <c r="F20" s="75">
        <f>GPIB_Command_Tester!D36</f>
        <v>-5.025532246</v>
      </c>
      <c r="H20" s="74">
        <f t="shared" si="2"/>
        <v>1600</v>
      </c>
      <c r="I20" s="79">
        <f>GPIB_Command_Tester!D73</f>
        <v>0</v>
      </c>
      <c r="J20" s="80"/>
      <c r="K20" s="76">
        <f t="shared" si="0"/>
        <v>3400</v>
      </c>
      <c r="L20" s="81">
        <f>GPIB_Command_Tester!D109</f>
        <v>0</v>
      </c>
      <c r="N20" s="104" t="s">
        <v>163</v>
      </c>
      <c r="O20" s="104"/>
      <c r="P20" s="104">
        <f>GPIB_Command_Tester!D159</f>
        <v>0</v>
      </c>
      <c r="Q20" s="104"/>
    </row>
    <row r="21" spans="5:17" x14ac:dyDescent="0.15">
      <c r="E21" s="74" t="s">
        <v>35</v>
      </c>
      <c r="F21" s="75">
        <f>GPIB_Command_Tester!D37</f>
        <v>-5.0362253189999997</v>
      </c>
      <c r="H21" s="74">
        <f t="shared" si="2"/>
        <v>1700</v>
      </c>
      <c r="I21" s="79">
        <f>GPIB_Command_Tester!D75</f>
        <v>0</v>
      </c>
      <c r="J21" s="80"/>
      <c r="K21" s="76">
        <f t="shared" si="0"/>
        <v>3500</v>
      </c>
      <c r="L21" s="81">
        <f>GPIB_Command_Tester!D111</f>
        <v>0</v>
      </c>
      <c r="N21" s="104" t="s">
        <v>164</v>
      </c>
      <c r="O21" s="104"/>
      <c r="P21" s="104">
        <f>GPIB_Command_Tester!D167</f>
        <v>0</v>
      </c>
      <c r="Q21" s="104"/>
    </row>
    <row r="22" spans="5:17" x14ac:dyDescent="0.15">
      <c r="E22" s="74" t="s">
        <v>36</v>
      </c>
      <c r="F22" s="75">
        <f>GPIB_Command_Tester!D38</f>
        <v>-4.9912667270000002</v>
      </c>
      <c r="H22" s="74">
        <f t="shared" si="2"/>
        <v>1800</v>
      </c>
      <c r="I22" s="79">
        <f>GPIB_Command_Tester!D77</f>
        <v>0</v>
      </c>
      <c r="J22" s="77"/>
      <c r="K22" s="76">
        <f t="shared" si="0"/>
        <v>3600</v>
      </c>
      <c r="L22" s="81">
        <f>GPIB_Command_Tester!D113</f>
        <v>0</v>
      </c>
      <c r="N22" s="104"/>
      <c r="O22" s="104"/>
      <c r="P22" s="104"/>
      <c r="Q22" s="104"/>
    </row>
    <row r="41" spans="1:7" x14ac:dyDescent="0.15">
      <c r="A41" s="72"/>
      <c r="B41" s="72"/>
      <c r="C41" s="72"/>
      <c r="D41" s="72"/>
      <c r="E41" s="72"/>
      <c r="F41" s="72"/>
      <c r="G41" s="72"/>
    </row>
  </sheetData>
  <mergeCells count="51">
    <mergeCell ref="C12:C13"/>
    <mergeCell ref="A12:A13"/>
    <mergeCell ref="B12:B13"/>
    <mergeCell ref="E3:F3"/>
    <mergeCell ref="H3:L3"/>
    <mergeCell ref="C8:C9"/>
    <mergeCell ref="C10:C11"/>
    <mergeCell ref="A1:Q1"/>
    <mergeCell ref="N3:Q3"/>
    <mergeCell ref="A2:Q2"/>
    <mergeCell ref="E15:F15"/>
    <mergeCell ref="E12:F14"/>
    <mergeCell ref="A3:B3"/>
    <mergeCell ref="A4:A5"/>
    <mergeCell ref="A6:A7"/>
    <mergeCell ref="A8:A9"/>
    <mergeCell ref="A10:A11"/>
    <mergeCell ref="B4:B5"/>
    <mergeCell ref="B6:B7"/>
    <mergeCell ref="B8:B9"/>
    <mergeCell ref="B10:B11"/>
    <mergeCell ref="C4:C5"/>
    <mergeCell ref="C6:C7"/>
    <mergeCell ref="P17:Q17"/>
    <mergeCell ref="N16:O16"/>
    <mergeCell ref="N17:O17"/>
    <mergeCell ref="P10:Q10"/>
    <mergeCell ref="P11:Q11"/>
    <mergeCell ref="P12:Q12"/>
    <mergeCell ref="P13:Q13"/>
    <mergeCell ref="P14:Q14"/>
    <mergeCell ref="N15:O15"/>
    <mergeCell ref="N11:O11"/>
    <mergeCell ref="N12:O12"/>
    <mergeCell ref="N13:O13"/>
    <mergeCell ref="N14:O14"/>
    <mergeCell ref="N10:O10"/>
    <mergeCell ref="N9:O9"/>
    <mergeCell ref="P9:Q9"/>
    <mergeCell ref="N8:Q8"/>
    <mergeCell ref="P15:Q15"/>
    <mergeCell ref="P16:Q16"/>
    <mergeCell ref="N18:Q18"/>
    <mergeCell ref="N19:O19"/>
    <mergeCell ref="N20:O20"/>
    <mergeCell ref="N21:O21"/>
    <mergeCell ref="N22:O22"/>
    <mergeCell ref="P19:Q19"/>
    <mergeCell ref="P20:Q20"/>
    <mergeCell ref="P21:Q21"/>
    <mergeCell ref="P22:Q22"/>
  </mergeCells>
  <phoneticPr fontId="22" type="noConversion"/>
  <conditionalFormatting sqref="I5:I22">
    <cfRule type="cellIs" dxfId="22" priority="21" operator="greaterThan">
      <formula>-19</formula>
    </cfRule>
    <cfRule type="cellIs" dxfId="21" priority="22" operator="lessThan">
      <formula>-21</formula>
    </cfRule>
    <cfRule type="cellIs" dxfId="20" priority="23" operator="lessThan">
      <formula>-21</formula>
    </cfRule>
  </conditionalFormatting>
  <conditionalFormatting sqref="L5:L22">
    <cfRule type="cellIs" dxfId="19" priority="18" operator="greaterThan">
      <formula>-19</formula>
    </cfRule>
    <cfRule type="cellIs" dxfId="18" priority="19" operator="lessThan">
      <formula>-21</formula>
    </cfRule>
    <cfRule type="cellIs" dxfId="17" priority="20" operator="lessThan">
      <formula>-21</formula>
    </cfRule>
  </conditionalFormatting>
  <conditionalFormatting sqref="F5:F11">
    <cfRule type="cellIs" dxfId="16" priority="16" operator="lessThan">
      <formula>-5.1</formula>
    </cfRule>
    <cfRule type="cellIs" dxfId="15" priority="17" operator="greaterThan">
      <formula>-4.9</formula>
    </cfRule>
  </conditionalFormatting>
  <conditionalFormatting sqref="F17:F22">
    <cfRule type="cellIs" dxfId="14" priority="14" operator="lessThan">
      <formula>-5.1</formula>
    </cfRule>
    <cfRule type="cellIs" dxfId="13" priority="15" operator="greaterThan">
      <formula>-4.9</formula>
    </cfRule>
  </conditionalFormatting>
  <conditionalFormatting sqref="C4:C5">
    <cfRule type="cellIs" dxfId="12" priority="13" operator="lessThan">
      <formula>1</formula>
    </cfRule>
  </conditionalFormatting>
  <conditionalFormatting sqref="C6:C7">
    <cfRule type="cellIs" dxfId="11" priority="12" operator="lessThan">
      <formula>1</formula>
    </cfRule>
  </conditionalFormatting>
  <conditionalFormatting sqref="C8:C9">
    <cfRule type="cellIs" dxfId="10" priority="11" operator="lessThan">
      <formula>1</formula>
    </cfRule>
  </conditionalFormatting>
  <conditionalFormatting sqref="C10:C13">
    <cfRule type="cellIs" dxfId="9" priority="10" operator="lessThan">
      <formula>1</formula>
    </cfRule>
  </conditionalFormatting>
  <conditionalFormatting sqref="P10:P17">
    <cfRule type="cellIs" dxfId="8" priority="8" operator="lessThan">
      <formula>-21</formula>
    </cfRule>
    <cfRule type="cellIs" dxfId="7" priority="9" operator="greaterThan">
      <formula>-19</formula>
    </cfRule>
  </conditionalFormatting>
  <conditionalFormatting sqref="Q5:Q7">
    <cfRule type="cellIs" dxfId="6" priority="6" operator="lessThan">
      <formula>-3</formula>
    </cfRule>
    <cfRule type="cellIs" dxfId="5" priority="7" operator="greaterThan">
      <formula>3</formula>
    </cfRule>
  </conditionalFormatting>
  <conditionalFormatting sqref="Q5:Q7">
    <cfRule type="cellIs" dxfId="4" priority="4" operator="lessThan">
      <formula>-2.5</formula>
    </cfRule>
    <cfRule type="cellIs" dxfId="3" priority="5" operator="greaterThan">
      <formula>2.5</formula>
    </cfRule>
  </conditionalFormatting>
  <conditionalFormatting sqref="P19:Q19">
    <cfRule type="cellIs" dxfId="2" priority="3" operator="greaterThan">
      <formula>0</formula>
    </cfRule>
  </conditionalFormatting>
  <conditionalFormatting sqref="P20:Q20">
    <cfRule type="cellIs" dxfId="1" priority="2" operator="greaterThan">
      <formula>0</formula>
    </cfRule>
  </conditionalFormatting>
  <conditionalFormatting sqref="P21:Q21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FAK</vt:lpstr>
      <vt:lpstr>ShortIntro</vt:lpstr>
      <vt:lpstr>GPIB_Command_Tester</vt:lpstr>
      <vt:lpstr>Result</vt:lpstr>
    </vt:vector>
  </TitlesOfParts>
  <Company>Agilent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GPIBCmdTester</dc:title>
  <dc:creator>JiaoJian</dc:creator>
  <dc:description>Help you to test GPIB commands for instrument communication.</dc:description>
  <cp:lastModifiedBy>Administrator</cp:lastModifiedBy>
  <dcterms:created xsi:type="dcterms:W3CDTF">2011-06-09T03:10:56Z</dcterms:created>
  <dcterms:modified xsi:type="dcterms:W3CDTF">2017-06-12T07:02:40Z</dcterms:modified>
  <cp:contentStatus>VerA.00.04</cp:contentStatus>
</cp:coreProperties>
</file>